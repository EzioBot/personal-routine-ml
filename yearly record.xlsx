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odel training with personal data\"/>
    </mc:Choice>
  </mc:AlternateContent>
  <xr:revisionPtr revIDLastSave="0" documentId="13_ncr:1_{28084D32-B9B1-4738-8A84-6449B72C5E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4" sheetId="1" r:id="rId1"/>
    <sheet name="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" i="2" l="1"/>
  <c r="AO29" i="2"/>
  <c r="AN29" i="2"/>
  <c r="AM29" i="2"/>
  <c r="AL29" i="2"/>
  <c r="AK29" i="2"/>
  <c r="AJ29" i="2"/>
  <c r="AI29" i="2"/>
  <c r="AH29" i="2"/>
  <c r="A6" i="2"/>
  <c r="AW31" i="1"/>
  <c r="AR31" i="1"/>
  <c r="AM31" i="1"/>
  <c r="AG31" i="1"/>
  <c r="V31" i="1"/>
  <c r="U31" i="1"/>
  <c r="BA29" i="1"/>
  <c r="AZ29" i="1"/>
  <c r="AY29" i="1"/>
  <c r="AX29" i="1"/>
  <c r="AW29" i="1"/>
  <c r="AV29" i="1"/>
  <c r="AS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6" i="1"/>
</calcChain>
</file>

<file path=xl/sharedStrings.xml><?xml version="1.0" encoding="utf-8"?>
<sst xmlns="http://schemas.openxmlformats.org/spreadsheetml/2006/main" count="255" uniqueCount="120">
  <si>
    <t>8th semester FAll 2024 (cse471, cse260, cse423, cse321)</t>
  </si>
  <si>
    <t>7th semester summer 2024 (CSE370, CSE331, CSE251, MAT215)</t>
  </si>
  <si>
    <t>6th semester spring 2024 (CSE221, CSE250, CSE320, MAT216)</t>
  </si>
  <si>
    <t xml:space="preserve">Activites </t>
  </si>
  <si>
    <t>week 53 (29-31 dec)</t>
  </si>
  <si>
    <t>week 52</t>
  </si>
  <si>
    <t>week 51</t>
  </si>
  <si>
    <t xml:space="preserve">week 50 </t>
  </si>
  <si>
    <t xml:space="preserve">week 49 </t>
  </si>
  <si>
    <t>weel 48</t>
  </si>
  <si>
    <t xml:space="preserve">week 47 </t>
  </si>
  <si>
    <t>week 46</t>
  </si>
  <si>
    <t xml:space="preserve">week 45 </t>
  </si>
  <si>
    <t xml:space="preserve">week 44 </t>
  </si>
  <si>
    <t>week 43</t>
  </si>
  <si>
    <t>week 42</t>
  </si>
  <si>
    <t xml:space="preserve">wek41 </t>
  </si>
  <si>
    <t>week 40</t>
  </si>
  <si>
    <t>weel 39</t>
  </si>
  <si>
    <t>week 38</t>
  </si>
  <si>
    <t xml:space="preserve">week 37 </t>
  </si>
  <si>
    <t>week 36</t>
  </si>
  <si>
    <t xml:space="preserve">week 35 </t>
  </si>
  <si>
    <t xml:space="preserve">week 34 </t>
  </si>
  <si>
    <t>week 33</t>
  </si>
  <si>
    <t>week 32</t>
  </si>
  <si>
    <t>week 31</t>
  </si>
  <si>
    <t>week 30</t>
  </si>
  <si>
    <t>week 29</t>
  </si>
  <si>
    <t>week 28</t>
  </si>
  <si>
    <t>week 27</t>
  </si>
  <si>
    <t xml:space="preserve">week 26 </t>
  </si>
  <si>
    <t xml:space="preserve">week 25 </t>
  </si>
  <si>
    <t>week 24</t>
  </si>
  <si>
    <t xml:space="preserve">week 23 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</si>
  <si>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</si>
  <si>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</si>
  <si>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</si>
  <si>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</si>
  <si>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</si>
  <si>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</si>
  <si>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</si>
  <si>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</si>
  <si>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</si>
  <si>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</si>
  <si>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</si>
  <si>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</si>
  <si>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</si>
  <si>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</si>
  <si>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</si>
  <si>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</si>
  <si>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</si>
  <si>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</si>
  <si>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 xml:space="preserve">week 4 </t>
  </si>
  <si>
    <t xml:space="preserve">week 3 </t>
  </si>
  <si>
    <t>week 2 (1/9/24 - 1/13/24)</t>
  </si>
  <si>
    <t xml:space="preserve">Sleeping </t>
  </si>
  <si>
    <t xml:space="preserve">Studying/ Homework </t>
  </si>
  <si>
    <t xml:space="preserve">Attending classes and labs </t>
  </si>
  <si>
    <t xml:space="preserve">Coooking or eating </t>
  </si>
  <si>
    <t xml:space="preserve">Grooming </t>
  </si>
  <si>
    <t xml:space="preserve">Gaming </t>
  </si>
  <si>
    <t xml:space="preserve">Working </t>
  </si>
  <si>
    <t>Relaxing/ pc/ mobile</t>
  </si>
  <si>
    <t xml:space="preserve">Learning </t>
  </si>
  <si>
    <t>Meetings</t>
  </si>
  <si>
    <t>Exercises</t>
  </si>
  <si>
    <t>Books</t>
  </si>
  <si>
    <t xml:space="preserve">Transportation </t>
  </si>
  <si>
    <t xml:space="preserve">Others </t>
  </si>
  <si>
    <t xml:space="preserve">Total </t>
  </si>
  <si>
    <t xml:space="preserve">Books </t>
  </si>
  <si>
    <t>x</t>
  </si>
  <si>
    <t xml:space="preserve">The power of your subconscious mind </t>
  </si>
  <si>
    <t xml:space="preserve">How to talk to anyone </t>
  </si>
  <si>
    <t>emotional intelligence</t>
  </si>
  <si>
    <t xml:space="preserve">think and grow rich </t>
  </si>
  <si>
    <t xml:space="preserve">সেই সময় </t>
  </si>
  <si>
    <t xml:space="preserve">The art of thinking clearly </t>
  </si>
  <si>
    <t>dark psychology and manipulation</t>
  </si>
  <si>
    <t xml:space="preserve">Atomic habits </t>
  </si>
  <si>
    <t>সিরাজদ্দৌলা</t>
  </si>
  <si>
    <t>তাহার জন্য আর কোন চিন্তা নেই,  রবোনগরী</t>
  </si>
  <si>
    <t>শেষ বিকেলের মেয়ে</t>
  </si>
  <si>
    <t xml:space="preserve">Read people like book </t>
  </si>
  <si>
    <t>The Psychology of Money</t>
  </si>
  <si>
    <t>richest man of babylon</t>
  </si>
  <si>
    <t xml:space="preserve">The art of reading minds </t>
  </si>
  <si>
    <t xml:space="preserve">The art of war </t>
  </si>
  <si>
    <t xml:space="preserve">Ikigai </t>
  </si>
  <si>
    <t>Rich dad poor dad</t>
  </si>
  <si>
    <t>Jane Eyer</t>
  </si>
  <si>
    <t xml:space="preserve">Domestic Earned </t>
  </si>
  <si>
    <t xml:space="preserve">11th semester FALL 2025 (CSE341, CSE350, CST, HST)                                            </t>
  </si>
  <si>
    <t>10th semester Summer 2025 (CSE421, CSE340, CSE428, CSE330)</t>
  </si>
  <si>
    <t>9th semester Spring 2025 (cse460, cse461, cse422, cse470)</t>
  </si>
  <si>
    <t>week 48</t>
  </si>
  <si>
    <t>week 44</t>
  </si>
  <si>
    <t xml:space="preserve">week 42 </t>
  </si>
  <si>
    <t xml:space="preserve">week 41 </t>
  </si>
  <si>
    <t xml:space="preserve">week 40 </t>
  </si>
  <si>
    <t xml:space="preserve">week 31 </t>
  </si>
  <si>
    <t xml:space="preserve">week 30 </t>
  </si>
  <si>
    <t xml:space="preserve">week 29 </t>
  </si>
  <si>
    <t>week 26</t>
  </si>
  <si>
    <t>week 25</t>
  </si>
  <si>
    <t>week 23</t>
  </si>
  <si>
    <t xml:space="preserve">week 21 </t>
  </si>
  <si>
    <t xml:space="preserve">week 10 </t>
  </si>
  <si>
    <t xml:space="preserve">week 8 </t>
  </si>
  <si>
    <t xml:space="preserve">week 5 </t>
  </si>
  <si>
    <t xml:space="preserve">week 2 </t>
  </si>
  <si>
    <t xml:space="preserve">week 1 </t>
  </si>
  <si>
    <t>-</t>
  </si>
  <si>
    <t>Mindset</t>
  </si>
  <si>
    <t>iliad</t>
  </si>
  <si>
    <t xml:space="preserve">white night </t>
  </si>
  <si>
    <t xml:space="preserve">metamorphosis </t>
  </si>
  <si>
    <t>The Pilgrimage</t>
  </si>
  <si>
    <t>Tuesday with morrie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</si>
</sst>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৳]#,##0.00"/>
  </numFmts>
  <fonts count="28">
    <font>
      <sz val="10"/>
      <color rgb="FF000000"/>
      <name val="Arial"/>
      <scheme val="minor"/>
    </font>
    <font>
      <sz val="10"/>
      <color rgb="FFFFFFFF"/>
      <name val="Inherit"/>
    </font>
    <font>
      <sz val="10"/>
      <color theme="1"/>
      <name val="Arial"/>
      <scheme val="minor"/>
    </font>
    <font>
      <sz val="13"/>
      <color rgb="FFFFFFFF"/>
      <name val="Pacifico"/>
    </font>
    <font>
      <sz val="40"/>
      <color rgb="FF20124D"/>
      <name val="&quot;Google Sans Mono&quot;"/>
    </font>
    <font>
      <sz val="10"/>
      <name val="Arial"/>
    </font>
    <font>
      <sz val="20"/>
      <color rgb="FFFFFFFF"/>
      <name val="Verdana"/>
    </font>
    <font>
      <b/>
      <sz val="8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5"/>
      <color rgb="FF000000"/>
      <name val="Times New Roman"/>
    </font>
    <font>
      <b/>
      <u/>
      <sz val="10"/>
      <color rgb="FF000000"/>
      <name val="Arial"/>
      <scheme val="minor"/>
    </font>
    <font>
      <b/>
      <u/>
      <sz val="10"/>
      <color rgb="FFFFFFFF"/>
      <name val="Arial"/>
      <scheme val="minor"/>
    </font>
    <font>
      <b/>
      <u/>
      <sz val="10"/>
      <color theme="1"/>
      <name val="Arial"/>
      <scheme val="minor"/>
    </font>
    <font>
      <sz val="8"/>
      <color theme="1"/>
      <name val="Arial"/>
      <scheme val="minor"/>
    </font>
    <font>
      <sz val="9"/>
      <color theme="1"/>
      <name val="Arial"/>
      <scheme val="minor"/>
    </font>
    <font>
      <sz val="10"/>
      <color theme="1"/>
      <name val="Arial"/>
    </font>
    <font>
      <sz val="8"/>
      <color rgb="FFFFFFFF"/>
      <name val="Pacifico"/>
    </font>
    <font>
      <b/>
      <i/>
      <sz val="12"/>
      <color theme="1"/>
      <name val="Verdana"/>
    </font>
    <font>
      <sz val="10"/>
      <color theme="1"/>
      <name val="Arial"/>
      <scheme val="minor"/>
    </font>
    <font>
      <sz val="10"/>
      <color theme="1"/>
      <name val="Verdana"/>
    </font>
    <font>
      <sz val="10"/>
      <color rgb="FF000000"/>
      <name val="Inherit"/>
    </font>
    <font>
      <sz val="15"/>
      <color rgb="FF20124D"/>
      <name val="&quot;Google Sans Mono&quot;"/>
    </font>
    <font>
      <b/>
      <sz val="8"/>
      <color rgb="FFFFFFFF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b/>
      <sz val="8"/>
      <color theme="1"/>
      <name val="Arial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0B5394"/>
        <bgColor rgb="FF0B5394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20124D"/>
        <bgColor rgb="FF20124D"/>
      </patternFill>
    </fill>
    <fill>
      <patternFill patternType="solid">
        <fgColor rgb="FFB7B7B7"/>
        <bgColor rgb="FFB7B7B7"/>
      </patternFill>
    </fill>
    <fill>
      <patternFill patternType="solid">
        <fgColor rgb="FF9C8C58"/>
        <bgColor rgb="FF9C8C58"/>
      </patternFill>
    </fill>
    <fill>
      <patternFill patternType="solid">
        <fgColor rgb="FFBB7B5E"/>
        <bgColor rgb="FFBB7B5E"/>
      </patternFill>
    </fill>
    <fill>
      <patternFill patternType="solid">
        <fgColor rgb="FFAC835C"/>
        <bgColor rgb="FFAC835C"/>
      </patternFill>
    </fill>
    <fill>
      <patternFill patternType="solid">
        <fgColor rgb="FF486919"/>
        <bgColor rgb="FF486919"/>
      </patternFill>
    </fill>
    <fill>
      <patternFill patternType="solid">
        <fgColor rgb="FFCC0000"/>
        <bgColor rgb="FFCC0000"/>
      </patternFill>
    </fill>
    <fill>
      <patternFill patternType="solid">
        <fgColor rgb="FFAC1906"/>
        <bgColor rgb="FFAC1906"/>
      </patternFill>
    </fill>
    <fill>
      <patternFill patternType="solid">
        <fgColor rgb="FF618621"/>
        <bgColor rgb="FF618621"/>
      </patternFill>
    </fill>
    <fill>
      <patternFill patternType="solid">
        <fgColor rgb="FFE68523"/>
        <bgColor rgb="FFE68523"/>
      </patternFill>
    </fill>
    <fill>
      <patternFill patternType="solid">
        <fgColor rgb="FFD6340E"/>
        <bgColor rgb="FFD6340E"/>
      </patternFill>
    </fill>
    <fill>
      <patternFill patternType="solid">
        <fgColor rgb="FF5A5B17"/>
        <bgColor rgb="FF5A5B17"/>
      </patternFill>
    </fill>
    <fill>
      <patternFill patternType="solid">
        <fgColor rgb="FF972B0B"/>
        <bgColor rgb="FF972B0B"/>
      </patternFill>
    </fill>
    <fill>
      <patternFill patternType="solid">
        <fgColor rgb="FF704912"/>
        <bgColor rgb="FF704912"/>
      </patternFill>
    </fill>
    <fill>
      <patternFill patternType="solid">
        <fgColor rgb="FF8B9556"/>
        <bgColor rgb="FF8B9556"/>
      </patternFill>
    </fill>
    <fill>
      <patternFill patternType="solid">
        <fgColor rgb="FF919257"/>
        <bgColor rgb="FF919257"/>
      </patternFill>
    </fill>
    <fill>
      <patternFill patternType="solid">
        <fgColor rgb="FF869855"/>
        <bgColor rgb="FF869855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19" fillId="15" borderId="5" xfId="0" applyFont="1" applyFill="1" applyBorder="1" applyAlignment="1">
      <alignment horizontal="left" vertical="center"/>
    </xf>
    <xf numFmtId="10" fontId="2" fillId="0" borderId="5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10" fontId="17" fillId="16" borderId="4" xfId="0" applyNumberFormat="1" applyFont="1" applyFill="1" applyBorder="1" applyAlignment="1">
      <alignment horizontal="center" vertical="center" wrapText="1"/>
    </xf>
    <xf numFmtId="10" fontId="17" fillId="17" borderId="4" xfId="0" applyNumberFormat="1" applyFont="1" applyFill="1" applyBorder="1" applyAlignment="1">
      <alignment horizontal="center" vertical="center" wrapText="1"/>
    </xf>
    <xf numFmtId="10" fontId="17" fillId="18" borderId="13" xfId="0" applyNumberFormat="1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left" vertical="center"/>
    </xf>
    <xf numFmtId="10" fontId="17" fillId="19" borderId="4" xfId="0" applyNumberFormat="1" applyFont="1" applyFill="1" applyBorder="1" applyAlignment="1">
      <alignment horizontal="center" vertical="center" wrapText="1"/>
    </xf>
    <xf numFmtId="10" fontId="17" fillId="20" borderId="4" xfId="0" applyNumberFormat="1" applyFont="1" applyFill="1" applyBorder="1" applyAlignment="1">
      <alignment horizontal="center" vertical="center" wrapText="1"/>
    </xf>
    <xf numFmtId="10" fontId="17" fillId="21" borderId="13" xfId="0" applyNumberFormat="1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left" vertical="center"/>
    </xf>
    <xf numFmtId="10" fontId="17" fillId="0" borderId="4" xfId="0" applyNumberFormat="1" applyFont="1" applyBorder="1" applyAlignment="1">
      <alignment horizontal="center" vertical="center" wrapText="1"/>
    </xf>
    <xf numFmtId="10" fontId="17" fillId="0" borderId="13" xfId="0" applyNumberFormat="1" applyFont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left" vertical="center"/>
    </xf>
    <xf numFmtId="10" fontId="17" fillId="22" borderId="4" xfId="0" applyNumberFormat="1" applyFont="1" applyFill="1" applyBorder="1" applyAlignment="1">
      <alignment horizontal="center" vertical="center" wrapText="1"/>
    </xf>
    <xf numFmtId="10" fontId="17" fillId="23" borderId="4" xfId="0" applyNumberFormat="1" applyFont="1" applyFill="1" applyBorder="1" applyAlignment="1">
      <alignment horizontal="center" vertical="center" wrapText="1"/>
    </xf>
    <xf numFmtId="10" fontId="17" fillId="24" borderId="13" xfId="0" applyNumberFormat="1" applyFont="1" applyFill="1" applyBorder="1" applyAlignment="1">
      <alignment horizontal="center" vertical="center" wrapText="1"/>
    </xf>
    <xf numFmtId="10" fontId="17" fillId="25" borderId="4" xfId="0" applyNumberFormat="1" applyFont="1" applyFill="1" applyBorder="1" applyAlignment="1">
      <alignment horizontal="center" vertical="center" wrapText="1"/>
    </xf>
    <xf numFmtId="10" fontId="17" fillId="26" borderId="4" xfId="0" applyNumberFormat="1" applyFont="1" applyFill="1" applyBorder="1" applyAlignment="1">
      <alignment horizontal="center" vertical="center" wrapText="1"/>
    </xf>
    <xf numFmtId="10" fontId="17" fillId="27" borderId="13" xfId="0" applyNumberFormat="1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left" vertical="center" wrapText="1"/>
    </xf>
    <xf numFmtId="10" fontId="17" fillId="28" borderId="4" xfId="0" applyNumberFormat="1" applyFont="1" applyFill="1" applyBorder="1" applyAlignment="1">
      <alignment horizontal="center" vertical="center" wrapText="1"/>
    </xf>
    <xf numFmtId="10" fontId="17" fillId="29" borderId="4" xfId="0" applyNumberFormat="1" applyFont="1" applyFill="1" applyBorder="1" applyAlignment="1">
      <alignment horizontal="center" vertical="center" wrapText="1"/>
    </xf>
    <xf numFmtId="10" fontId="17" fillId="30" borderId="13" xfId="0" applyNumberFormat="1" applyFont="1" applyFill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/>
    </xf>
    <xf numFmtId="0" fontId="19" fillId="5" borderId="1" xfId="0" applyFont="1" applyFill="1" applyBorder="1"/>
    <xf numFmtId="10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9" fillId="31" borderId="14" xfId="0" applyFont="1" applyFill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7" fillId="8" borderId="4" xfId="0" applyNumberFormat="1" applyFont="1" applyFill="1" applyBorder="1" applyAlignment="1">
      <alignment horizontal="center" vertical="center" wrapText="1"/>
    </xf>
    <xf numFmtId="164" fontId="17" fillId="8" borderId="15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horizontal="left"/>
    </xf>
    <xf numFmtId="0" fontId="7" fillId="0" borderId="16" xfId="0" applyFont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0" fillId="0" borderId="0" xfId="0"/>
    <xf numFmtId="0" fontId="10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164" fontId="6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7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3" fillId="14" borderId="8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2" xfId="0" applyFont="1" applyBorder="1"/>
    <xf numFmtId="0" fontId="7" fillId="12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20" borderId="8" xfId="0" applyFont="1" applyFill="1" applyBorder="1" applyAlignment="1">
      <alignment horizontal="center" vertical="center" wrapText="1"/>
    </xf>
    <xf numFmtId="0" fontId="27" fillId="33" borderId="8" xfId="0" applyFont="1" applyFill="1" applyBorder="1" applyAlignment="1">
      <alignment horizontal="center" vertical="center" wrapText="1"/>
    </xf>
    <xf numFmtId="0" fontId="27" fillId="34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32" borderId="8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">
    <tableStyle name="2024-style" pivot="0" count="2" xr9:uid="{00000000-0011-0000-FFFF-FFFF00000000}">
      <tableStyleElement type="firstRowStripe" dxfId="3"/>
      <tableStyleElement type="secondRowStripe" dxfId="2"/>
    </tableStyle>
    <tableStyle name="2025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5:BA29" headerRowCount="0">
  <tableColumns count="5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</tableColumns>
  <tableStyleInfo name="202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5:AO29" headerRowCount="0">
  <tableColumns count="4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</tableColumns>
  <tableStyleInfo name="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973"/>
  <sheetViews>
    <sheetView workbookViewId="0">
      <pane xSplit="1" topLeftCell="B1" activePane="topRight" state="frozen"/>
      <selection pane="topRight" activeCell="C10" sqref="C10:C13"/>
    </sheetView>
  </sheetViews>
  <sheetFormatPr defaultColWidth="12.5703125" defaultRowHeight="15.75" customHeight="1"/>
  <cols>
    <col min="1" max="1" width="42.5703125" customWidth="1"/>
  </cols>
  <sheetData>
    <row r="1" spans="1:6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67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67">
      <c r="A3" s="69">
        <v>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67">
      <c r="A4" s="6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67">
      <c r="A5" s="67"/>
      <c r="B5" s="70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2"/>
      <c r="M5" s="2"/>
      <c r="N5" s="2"/>
      <c r="O5" s="70" t="s">
        <v>1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2"/>
      <c r="AH5" s="5"/>
      <c r="AI5" s="5"/>
      <c r="AJ5" s="70" t="s">
        <v>2</v>
      </c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2"/>
      <c r="AZ5" s="2"/>
      <c r="BA5" s="2"/>
      <c r="BB5" s="2"/>
    </row>
    <row r="6" spans="1:67" ht="12.75">
      <c r="A6" s="73">
        <f>SUM(A31:BO31) +6000</f>
        <v>9451</v>
      </c>
      <c r="B6" s="6"/>
      <c r="C6" s="6"/>
      <c r="D6" s="6"/>
      <c r="E6" s="74"/>
      <c r="F6" s="75"/>
      <c r="G6" s="85"/>
      <c r="H6" s="76"/>
      <c r="I6" s="7"/>
      <c r="J6" s="7"/>
      <c r="K6" s="7"/>
      <c r="L6" s="63"/>
      <c r="M6" s="8"/>
      <c r="N6" s="8"/>
      <c r="O6" s="6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9"/>
      <c r="AB6" s="64"/>
      <c r="AC6" s="100"/>
      <c r="AD6" s="101"/>
      <c r="AE6" s="101"/>
      <c r="AF6" s="101"/>
      <c r="AG6" s="63"/>
      <c r="AH6" s="102"/>
      <c r="AI6" s="102"/>
      <c r="AJ6" s="63"/>
      <c r="AK6" s="65"/>
      <c r="AL6" s="2"/>
      <c r="AM6" s="65"/>
      <c r="AN6" s="9"/>
      <c r="AO6" s="65"/>
      <c r="AP6" s="68"/>
      <c r="AQ6" s="2"/>
      <c r="AR6" s="2"/>
      <c r="AS6" s="68"/>
      <c r="AT6" s="68"/>
      <c r="AU6" s="68"/>
      <c r="AV6" s="2"/>
      <c r="AW6" s="2"/>
      <c r="AX6" s="2"/>
      <c r="AY6" s="63"/>
      <c r="AZ6" s="2"/>
      <c r="BA6" s="2"/>
      <c r="BB6" s="2"/>
    </row>
    <row r="7" spans="1:67" ht="12.75">
      <c r="A7" s="64"/>
      <c r="B7" s="6"/>
      <c r="C7" s="6"/>
      <c r="D7" s="6"/>
      <c r="E7" s="64"/>
      <c r="F7" s="64"/>
      <c r="G7" s="66"/>
      <c r="H7" s="66"/>
      <c r="I7" s="7"/>
      <c r="J7" s="7"/>
      <c r="K7" s="7"/>
      <c r="L7" s="64"/>
      <c r="M7" s="8"/>
      <c r="N7" s="8"/>
      <c r="O7" s="6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64"/>
      <c r="AB7" s="64"/>
      <c r="AC7" s="66"/>
      <c r="AD7" s="64"/>
      <c r="AE7" s="64"/>
      <c r="AF7" s="64"/>
      <c r="AG7" s="64"/>
      <c r="AH7" s="64"/>
      <c r="AI7" s="64"/>
      <c r="AJ7" s="64"/>
      <c r="AK7" s="66"/>
      <c r="AL7" s="2"/>
      <c r="AM7" s="66"/>
      <c r="AN7" s="10"/>
      <c r="AO7" s="66"/>
      <c r="AP7" s="66"/>
      <c r="AQ7" s="2"/>
      <c r="AR7" s="2"/>
      <c r="AS7" s="66"/>
      <c r="AT7" s="66"/>
      <c r="AU7" s="66"/>
      <c r="AV7" s="2"/>
      <c r="AW7" s="2"/>
      <c r="AX7" s="2"/>
      <c r="AY7" s="64"/>
      <c r="AZ7" s="2"/>
      <c r="BA7" s="2"/>
      <c r="BB7" s="2"/>
    </row>
    <row r="8" spans="1:67" ht="12.75">
      <c r="A8" s="64"/>
      <c r="B8" s="6"/>
      <c r="C8" s="6"/>
      <c r="D8" s="6"/>
      <c r="E8" s="64"/>
      <c r="F8" s="64"/>
      <c r="G8" s="66"/>
      <c r="H8" s="66"/>
      <c r="I8" s="7"/>
      <c r="J8" s="7"/>
      <c r="K8" s="7"/>
      <c r="L8" s="64"/>
      <c r="M8" s="8"/>
      <c r="N8" s="8"/>
      <c r="O8" s="64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64"/>
      <c r="AB8" s="64"/>
      <c r="AC8" s="66"/>
      <c r="AD8" s="64"/>
      <c r="AE8" s="64"/>
      <c r="AF8" s="64"/>
      <c r="AG8" s="64"/>
      <c r="AH8" s="64"/>
      <c r="AI8" s="64"/>
      <c r="AJ8" s="64"/>
      <c r="AK8" s="66"/>
      <c r="AL8" s="2"/>
      <c r="AM8" s="66"/>
      <c r="AN8" s="10"/>
      <c r="AO8" s="66"/>
      <c r="AP8" s="66"/>
      <c r="AQ8" s="2"/>
      <c r="AR8" s="2"/>
      <c r="AS8" s="66"/>
      <c r="AT8" s="66"/>
      <c r="AU8" s="66"/>
      <c r="AV8" s="2"/>
      <c r="AW8" s="2"/>
      <c r="AX8" s="2"/>
      <c r="AY8" s="64"/>
      <c r="AZ8" s="2"/>
      <c r="BA8" s="2"/>
      <c r="BB8" s="2"/>
    </row>
    <row r="9" spans="1:67" ht="12.75">
      <c r="A9" s="64"/>
      <c r="B9" s="6"/>
      <c r="C9" s="6"/>
      <c r="D9" s="6"/>
      <c r="E9" s="64"/>
      <c r="F9" s="64"/>
      <c r="G9" s="67"/>
      <c r="H9" s="67"/>
      <c r="I9" s="7"/>
      <c r="J9" s="7"/>
      <c r="K9" s="7"/>
      <c r="L9" s="64"/>
      <c r="M9" s="8"/>
      <c r="N9" s="8"/>
      <c r="O9" s="64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64"/>
      <c r="AB9" s="64"/>
      <c r="AC9" s="67"/>
      <c r="AD9" s="64"/>
      <c r="AE9" s="64"/>
      <c r="AF9" s="64"/>
      <c r="AG9" s="64"/>
      <c r="AH9" s="64"/>
      <c r="AI9" s="64"/>
      <c r="AJ9" s="64"/>
      <c r="AK9" s="67"/>
      <c r="AL9" s="2"/>
      <c r="AM9" s="67"/>
      <c r="AN9" s="11"/>
      <c r="AO9" s="67"/>
      <c r="AP9" s="67"/>
      <c r="AQ9" s="2"/>
      <c r="AR9" s="2"/>
      <c r="AS9" s="67"/>
      <c r="AT9" s="67"/>
      <c r="AU9" s="67"/>
      <c r="AV9" s="2"/>
      <c r="AW9" s="2"/>
      <c r="AX9" s="2"/>
      <c r="AY9" s="64"/>
      <c r="AZ9" s="2"/>
      <c r="BA9" s="2"/>
      <c r="BB9" s="2"/>
    </row>
    <row r="10" spans="1:67" ht="12.75">
      <c r="A10" s="86"/>
      <c r="B10" s="87"/>
      <c r="C10" s="87"/>
      <c r="D10" s="87"/>
      <c r="E10" s="65"/>
      <c r="F10" s="65"/>
      <c r="G10" s="77"/>
      <c r="H10" s="72"/>
      <c r="I10" s="78"/>
      <c r="J10" s="78"/>
      <c r="K10" s="78"/>
      <c r="L10" s="78"/>
      <c r="M10" s="78"/>
      <c r="N10" s="78"/>
      <c r="O10" s="78"/>
      <c r="P10" s="105"/>
      <c r="Q10" s="107"/>
      <c r="R10" s="108"/>
      <c r="S10" s="108"/>
      <c r="T10" s="109"/>
      <c r="U10" s="105"/>
      <c r="V10" s="105"/>
      <c r="W10" s="90"/>
      <c r="X10" s="90"/>
      <c r="Y10" s="90"/>
      <c r="Z10" s="91"/>
      <c r="AA10" s="92"/>
      <c r="AB10" s="93"/>
      <c r="AC10" s="94"/>
      <c r="AD10" s="88"/>
      <c r="AE10" s="88"/>
      <c r="AF10" s="88"/>
      <c r="AG10" s="103"/>
      <c r="AH10" s="104"/>
      <c r="AI10" s="110"/>
      <c r="AJ10" s="111"/>
      <c r="AK10" s="112"/>
      <c r="AL10" s="68"/>
      <c r="AM10" s="113"/>
      <c r="AN10" s="68"/>
      <c r="AO10" s="96"/>
      <c r="AP10" s="97"/>
      <c r="AQ10" s="68"/>
      <c r="AR10" s="68"/>
      <c r="AS10" s="68"/>
      <c r="AT10" s="98"/>
      <c r="AU10" s="68"/>
      <c r="AV10" s="68"/>
      <c r="AW10" s="68"/>
      <c r="AX10" s="95"/>
      <c r="AY10" s="68"/>
      <c r="AZ10" s="95"/>
      <c r="BA10" s="95"/>
      <c r="BB10" s="2"/>
    </row>
    <row r="11" spans="1:67" ht="12.75">
      <c r="A11" s="79"/>
      <c r="B11" s="79"/>
      <c r="C11" s="79"/>
      <c r="D11" s="79"/>
      <c r="E11" s="66"/>
      <c r="F11" s="66"/>
      <c r="G11" s="82"/>
      <c r="H11" s="81"/>
      <c r="I11" s="79"/>
      <c r="J11" s="79"/>
      <c r="K11" s="79"/>
      <c r="L11" s="79"/>
      <c r="M11" s="79"/>
      <c r="N11" s="79"/>
      <c r="O11" s="79"/>
      <c r="P11" s="64"/>
      <c r="Q11" s="79"/>
      <c r="R11" s="79"/>
      <c r="S11" s="79"/>
      <c r="T11" s="79"/>
      <c r="U11" s="64"/>
      <c r="V11" s="64"/>
      <c r="W11" s="66"/>
      <c r="X11" s="66"/>
      <c r="Y11" s="66"/>
      <c r="Z11" s="79"/>
      <c r="AA11" s="79"/>
      <c r="AB11" s="79"/>
      <c r="AC11" s="79"/>
      <c r="AD11" s="79"/>
      <c r="AE11" s="79"/>
      <c r="AF11" s="79"/>
      <c r="AG11" s="79"/>
      <c r="AH11" s="79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2"/>
    </row>
    <row r="12" spans="1:67">
      <c r="A12" s="79"/>
      <c r="B12" s="79"/>
      <c r="C12" s="79"/>
      <c r="D12" s="79"/>
      <c r="E12" s="66"/>
      <c r="F12" s="66"/>
      <c r="G12" s="66"/>
      <c r="H12" s="66"/>
      <c r="I12" s="79"/>
      <c r="J12" s="79"/>
      <c r="K12" s="79"/>
      <c r="L12" s="79"/>
      <c r="M12" s="79"/>
      <c r="N12" s="79"/>
      <c r="O12" s="79"/>
      <c r="P12" s="64"/>
      <c r="Q12" s="79"/>
      <c r="R12" s="79"/>
      <c r="S12" s="79"/>
      <c r="T12" s="79"/>
      <c r="U12" s="64"/>
      <c r="V12" s="64"/>
      <c r="W12" s="66"/>
      <c r="X12" s="66"/>
      <c r="Y12" s="66"/>
      <c r="Z12" s="79"/>
      <c r="AA12" s="79"/>
      <c r="AB12" s="79"/>
      <c r="AC12" s="79"/>
      <c r="AD12" s="79"/>
      <c r="AE12" s="79"/>
      <c r="AF12" s="79"/>
      <c r="AG12" s="79"/>
      <c r="AH12" s="79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2"/>
    </row>
    <row r="13" spans="1:67">
      <c r="A13" s="80"/>
      <c r="B13" s="80"/>
      <c r="C13" s="80"/>
      <c r="D13" s="80"/>
      <c r="E13" s="67"/>
      <c r="F13" s="67"/>
      <c r="G13" s="67"/>
      <c r="H13" s="67"/>
      <c r="I13" s="80"/>
      <c r="J13" s="80"/>
      <c r="K13" s="80"/>
      <c r="L13" s="80"/>
      <c r="M13" s="80"/>
      <c r="N13" s="80"/>
      <c r="O13" s="80"/>
      <c r="P13" s="106"/>
      <c r="Q13" s="80"/>
      <c r="R13" s="80"/>
      <c r="S13" s="80"/>
      <c r="T13" s="80"/>
      <c r="U13" s="106"/>
      <c r="V13" s="106"/>
      <c r="W13" s="67"/>
      <c r="X13" s="67"/>
      <c r="Y13" s="67"/>
      <c r="Z13" s="80"/>
      <c r="AA13" s="80"/>
      <c r="AB13" s="80"/>
      <c r="AC13" s="80"/>
      <c r="AD13" s="80"/>
      <c r="AE13" s="80"/>
      <c r="AF13" s="80"/>
      <c r="AG13" s="80"/>
      <c r="AH13" s="80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2"/>
    </row>
    <row r="14" spans="1:67" ht="15.75" customHeight="1">
      <c r="A14" s="3" t="s">
        <v>3</v>
      </c>
      <c r="B14" s="3" t="s">
        <v>4</v>
      </c>
      <c r="C14" s="3" t="s">
        <v>5</v>
      </c>
      <c r="D14" s="3" t="s">
        <v>6</v>
      </c>
      <c r="E14" s="3" t="s">
        <v>7</v>
      </c>
      <c r="F14" s="3" t="s">
        <v>8</v>
      </c>
      <c r="G14" s="3" t="s">
        <v>9</v>
      </c>
      <c r="H14" s="3" t="s">
        <v>10</v>
      </c>
      <c r="I14" s="3" t="s">
        <v>11</v>
      </c>
      <c r="J14" s="3" t="s">
        <v>12</v>
      </c>
      <c r="K14" s="3" t="s">
        <v>13</v>
      </c>
      <c r="L14" s="3" t="s">
        <v>14</v>
      </c>
      <c r="M14" s="3" t="s">
        <v>15</v>
      </c>
      <c r="N14" s="3" t="s">
        <v>16</v>
      </c>
      <c r="O14" s="3" t="s">
        <v>17</v>
      </c>
      <c r="P14" s="3" t="s">
        <v>18</v>
      </c>
      <c r="Q14" s="3" t="s">
        <v>19</v>
      </c>
      <c r="R14" s="3" t="s">
        <v>20</v>
      </c>
      <c r="S14" s="3" t="s">
        <v>21</v>
      </c>
      <c r="T14" s="3" t="s">
        <v>22</v>
      </c>
      <c r="U14" s="3" t="s">
        <v>23</v>
      </c>
      <c r="V14" s="3" t="s">
        <v>24</v>
      </c>
      <c r="W14" s="3" t="s">
        <v>25</v>
      </c>
      <c r="X14" s="3" t="s">
        <v>26</v>
      </c>
      <c r="Y14" s="3" t="s">
        <v>27</v>
      </c>
      <c r="Z14" s="3" t="s">
        <v>28</v>
      </c>
      <c r="AA14" s="3" t="s">
        <v>29</v>
      </c>
      <c r="AB14" s="3" t="s">
        <v>30</v>
      </c>
      <c r="AC14" s="3" t="s">
        <v>31</v>
      </c>
      <c r="AD14" s="3" t="s">
        <v>32</v>
      </c>
      <c r="AE14" s="3" t="s">
        <v>33</v>
      </c>
      <c r="AF14" s="3" t="s">
        <v>34</v>
      </c>
      <c r="AG14" s="3" t="s">
        <v>35</v>
      </c>
      <c r="AH14" s="3" t="s">
        <v>36</v>
      </c>
      <c r="AI14" s="3" t="s">
        <v>37</v>
      </c>
      <c r="AJ14" s="3" t="s">
        <v>38</v>
      </c>
      <c r="AK14" s="3" t="s">
        <v>39</v>
      </c>
      <c r="AL14" s="3" t="s">
        <v>40</v>
      </c>
      <c r="AM14" s="3" t="s">
        <v>41</v>
      </c>
      <c r="AN14" s="3" t="s">
        <v>42</v>
      </c>
      <c r="AO14" s="3" t="s">
        <v>43</v>
      </c>
      <c r="AP14" s="3" t="s">
        <v>44</v>
      </c>
      <c r="AQ14" s="3" t="s">
        <v>45</v>
      </c>
      <c r="AR14" s="3" t="s">
        <v>46</v>
      </c>
      <c r="AS14" s="3" t="s">
        <v>47</v>
      </c>
      <c r="AT14" s="3" t="s">
        <v>48</v>
      </c>
      <c r="AU14" s="3" t="s">
        <v>49</v>
      </c>
      <c r="AV14" s="3" t="s">
        <v>50</v>
      </c>
      <c r="AW14" s="3" t="s">
        <v>51</v>
      </c>
      <c r="AX14" s="12" t="s">
        <v>52</v>
      </c>
      <c r="AY14" s="3" t="s">
        <v>53</v>
      </c>
      <c r="AZ14" s="12" t="s">
        <v>54</v>
      </c>
      <c r="BA14" s="13" t="s">
        <v>55</v>
      </c>
      <c r="BB14" s="14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</row>
    <row r="15" spans="1:67">
      <c r="A15" s="16" t="s">
        <v>56</v>
      </c>
      <c r="B15" s="17">
        <v>0.33679999999999999</v>
      </c>
      <c r="C15" s="17">
        <v>0.23214285714285715</v>
      </c>
      <c r="D15" s="17">
        <v>0.25744047619047616</v>
      </c>
      <c r="E15" s="17">
        <v>0.26934523809523808</v>
      </c>
      <c r="F15" s="17">
        <v>0.25148809523809523</v>
      </c>
      <c r="G15" s="17">
        <v>0.26190476190476192</v>
      </c>
      <c r="H15" s="17">
        <v>0.22767857142857142</v>
      </c>
      <c r="I15" s="17">
        <v>0.22619047619047619</v>
      </c>
      <c r="J15" s="17">
        <v>0.24851190476190477</v>
      </c>
      <c r="K15" s="17">
        <v>0.22767857142857142</v>
      </c>
      <c r="L15" s="17">
        <v>0.24553571428571427</v>
      </c>
      <c r="M15" s="17">
        <v>0.25</v>
      </c>
      <c r="N15" s="17">
        <v>0.26488095238095238</v>
      </c>
      <c r="O15" s="17">
        <v>0.26636904761904762</v>
      </c>
      <c r="P15" s="17">
        <v>0.24553571428571427</v>
      </c>
      <c r="Q15" s="17">
        <v>0.25744047619047616</v>
      </c>
      <c r="R15" s="17">
        <v>0.24255952380952381</v>
      </c>
      <c r="S15" s="17">
        <v>0.23511904761904762</v>
      </c>
      <c r="T15" s="17">
        <v>0.30654761904761907</v>
      </c>
      <c r="U15" s="17">
        <v>0.28472222222222221</v>
      </c>
      <c r="V15" s="17">
        <v>0.27083333333333331</v>
      </c>
      <c r="W15" s="17">
        <v>0.26307922272047835</v>
      </c>
      <c r="X15" s="17">
        <v>0.25297619047619047</v>
      </c>
      <c r="Y15" s="17">
        <v>0.28273809523809523</v>
      </c>
      <c r="Z15" s="17">
        <v>0.31101190476190477</v>
      </c>
      <c r="AA15" s="17">
        <v>0.29315476190476192</v>
      </c>
      <c r="AB15" s="17">
        <v>0.24404761904761904</v>
      </c>
      <c r="AC15" s="17">
        <v>0.24404761904761904</v>
      </c>
      <c r="AD15" s="17">
        <v>0.27827380952380953</v>
      </c>
      <c r="AE15" s="17">
        <v>0.23511904761904762</v>
      </c>
      <c r="AF15" s="17">
        <v>0.22470238095238096</v>
      </c>
      <c r="AG15" s="17">
        <v>0.20572916666666666</v>
      </c>
      <c r="AH15" s="17">
        <v>0.26636904761904762</v>
      </c>
      <c r="AI15" s="17">
        <v>0.23511904761904762</v>
      </c>
      <c r="AJ15" s="17">
        <v>0.22619047619047619</v>
      </c>
      <c r="AK15" s="18">
        <v>0.22321428571428573</v>
      </c>
      <c r="AL15" s="18">
        <v>0.21577380952380953</v>
      </c>
      <c r="AM15" s="18">
        <v>0.23511904761904762</v>
      </c>
      <c r="AN15" s="18">
        <v>0.22321428571428573</v>
      </c>
      <c r="AO15" s="18">
        <v>0.24404761904761904</v>
      </c>
      <c r="AP15" s="19">
        <v>0.22767857142857142</v>
      </c>
      <c r="AQ15" s="19">
        <v>0.26190476190476192</v>
      </c>
      <c r="AR15" s="19">
        <v>0.25595238095238093</v>
      </c>
      <c r="AS15" s="19">
        <v>0.21726190476190477</v>
      </c>
      <c r="AT15" s="19">
        <v>0.25148809523809523</v>
      </c>
      <c r="AU15" s="19">
        <v>0.23065476190476192</v>
      </c>
      <c r="AV15" s="19">
        <v>0.23660714285714285</v>
      </c>
      <c r="AW15" s="19">
        <v>0.23511904761904762</v>
      </c>
      <c r="AX15" s="20">
        <v>0.23958333333333334</v>
      </c>
      <c r="AY15" s="19">
        <v>0.2544642857142857</v>
      </c>
      <c r="AZ15" s="21">
        <v>0.26339285714285715</v>
      </c>
      <c r="BA15" s="22">
        <v>0.25208333333333333</v>
      </c>
      <c r="BB15" s="2"/>
    </row>
    <row r="16" spans="1:67">
      <c r="A16" s="23" t="s">
        <v>57</v>
      </c>
      <c r="B16" s="17">
        <v>7.2900000000000006E-2</v>
      </c>
      <c r="C16" s="17">
        <v>0.15922619047619047</v>
      </c>
      <c r="D16" s="17">
        <v>0.16220238095238096</v>
      </c>
      <c r="E16" s="17">
        <v>0.10863095238095238</v>
      </c>
      <c r="F16" s="17">
        <v>8.3333333333333329E-2</v>
      </c>
      <c r="G16" s="17">
        <v>0.10119047619047619</v>
      </c>
      <c r="H16" s="17">
        <v>0.125</v>
      </c>
      <c r="I16" s="17">
        <v>9.0773809523809521E-2</v>
      </c>
      <c r="J16" s="17">
        <v>8.3333333333333329E-2</v>
      </c>
      <c r="K16" s="17">
        <v>4.6130952380952384E-2</v>
      </c>
      <c r="L16" s="17">
        <v>2.8273809523809524E-2</v>
      </c>
      <c r="M16" s="17">
        <v>2.0833333333333332E-2</v>
      </c>
      <c r="N16" s="17">
        <v>0</v>
      </c>
      <c r="O16" s="17">
        <v>5.8035714285714288E-2</v>
      </c>
      <c r="P16" s="17">
        <v>0.13095238095238096</v>
      </c>
      <c r="Q16" s="17">
        <v>0.12053571428571429</v>
      </c>
      <c r="R16" s="17">
        <v>8.4821428571428575E-2</v>
      </c>
      <c r="S16" s="17">
        <v>9.0773809523809521E-2</v>
      </c>
      <c r="T16" s="17">
        <v>3.8690476190476192E-2</v>
      </c>
      <c r="U16" s="17">
        <v>1.5625E-2</v>
      </c>
      <c r="V16" s="17">
        <v>0</v>
      </c>
      <c r="W16" s="17">
        <v>0</v>
      </c>
      <c r="X16" s="17">
        <v>1.1904761904761904E-2</v>
      </c>
      <c r="Y16" s="17">
        <v>8.9285714285714281E-3</v>
      </c>
      <c r="Z16" s="17">
        <v>2.5297619047619048E-2</v>
      </c>
      <c r="AA16" s="17">
        <v>8.9285714285714288E-2</v>
      </c>
      <c r="AB16" s="17">
        <v>0.10416666666666667</v>
      </c>
      <c r="AC16" s="17">
        <v>9.375E-2</v>
      </c>
      <c r="AD16" s="17">
        <v>5.9523809523809521E-2</v>
      </c>
      <c r="AE16" s="17">
        <v>5.3571428571428568E-2</v>
      </c>
      <c r="AF16" s="17">
        <v>6.5476190476190479E-2</v>
      </c>
      <c r="AG16" s="17">
        <v>3.90625E-2</v>
      </c>
      <c r="AH16" s="17">
        <v>0</v>
      </c>
      <c r="AI16" s="17">
        <v>2.5297619047619048E-2</v>
      </c>
      <c r="AJ16" s="17">
        <v>0.10119047619047619</v>
      </c>
      <c r="AK16" s="18">
        <v>8.6309523809523808E-2</v>
      </c>
      <c r="AL16" s="18">
        <v>0.15327380952380953</v>
      </c>
      <c r="AM16" s="18">
        <v>7.5892857142857137E-2</v>
      </c>
      <c r="AN16" s="18">
        <v>7.4404761904761904E-2</v>
      </c>
      <c r="AO16" s="18">
        <v>9.2261904761904767E-2</v>
      </c>
      <c r="AP16" s="19">
        <v>6.6964285714285712E-2</v>
      </c>
      <c r="AQ16" s="19">
        <v>3.5714285714285712E-2</v>
      </c>
      <c r="AR16" s="19">
        <v>5.5059523809523808E-2</v>
      </c>
      <c r="AS16" s="19">
        <v>0.10119047619047619</v>
      </c>
      <c r="AT16" s="19">
        <v>7.8869047619047616E-2</v>
      </c>
      <c r="AU16" s="19">
        <v>9.5238095238095233E-2</v>
      </c>
      <c r="AV16" s="19">
        <v>0.11011904761904762</v>
      </c>
      <c r="AW16" s="19">
        <v>0.13095238095238096</v>
      </c>
      <c r="AX16" s="24">
        <v>0.11160714285714286</v>
      </c>
      <c r="AY16" s="19">
        <v>4.0178571428571432E-2</v>
      </c>
      <c r="AZ16" s="25">
        <v>0</v>
      </c>
      <c r="BA16" s="26">
        <v>2.7083333333333334E-2</v>
      </c>
      <c r="BB16" s="2"/>
    </row>
    <row r="17" spans="1:54">
      <c r="A17" s="27" t="s">
        <v>58</v>
      </c>
      <c r="B17" s="17">
        <v>5.5599999999999997E-2</v>
      </c>
      <c r="C17" s="17">
        <v>4.6130952380952384E-2</v>
      </c>
      <c r="D17" s="17">
        <v>7.1428571428571425E-2</v>
      </c>
      <c r="E17" s="17">
        <v>8.4821428571428575E-2</v>
      </c>
      <c r="F17" s="17">
        <v>9.9702380952380959E-2</v>
      </c>
      <c r="G17" s="17">
        <v>2.5297619047619048E-2</v>
      </c>
      <c r="H17" s="17">
        <v>8.1845238095238096E-2</v>
      </c>
      <c r="I17" s="17">
        <v>9.0773809523809521E-2</v>
      </c>
      <c r="J17" s="17">
        <v>9.5238095238095233E-2</v>
      </c>
      <c r="K17" s="17">
        <v>4.7619047619047616E-2</v>
      </c>
      <c r="L17" s="17">
        <v>2.8273809523809524E-2</v>
      </c>
      <c r="M17" s="17">
        <v>0</v>
      </c>
      <c r="N17" s="17">
        <v>0</v>
      </c>
      <c r="O17" s="17">
        <v>3.5714285714285712E-2</v>
      </c>
      <c r="P17" s="17">
        <v>5.2083333333333336E-2</v>
      </c>
      <c r="Q17" s="17">
        <v>5.3571428571428568E-2</v>
      </c>
      <c r="R17" s="17">
        <v>4.6130952380952384E-2</v>
      </c>
      <c r="S17" s="17">
        <v>5.6547619047619048E-2</v>
      </c>
      <c r="T17" s="17">
        <v>1.3392857142857142E-2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1.0416666666666666E-2</v>
      </c>
      <c r="AA17" s="17">
        <v>3.7202380952380952E-2</v>
      </c>
      <c r="AB17" s="17">
        <v>8.0357142857142863E-2</v>
      </c>
      <c r="AC17" s="17">
        <v>7.4404761904761904E-2</v>
      </c>
      <c r="AD17" s="17">
        <v>1.9345238095238096E-2</v>
      </c>
      <c r="AE17" s="17">
        <v>5.6547619047619048E-2</v>
      </c>
      <c r="AF17" s="17">
        <v>7.7380952380952384E-2</v>
      </c>
      <c r="AG17" s="17">
        <v>3.6458333333333336E-2</v>
      </c>
      <c r="AH17" s="17">
        <v>0</v>
      </c>
      <c r="AI17" s="17">
        <v>1.0416666666666666E-2</v>
      </c>
      <c r="AJ17" s="17">
        <v>3.5714285714285712E-2</v>
      </c>
      <c r="AK17" s="18">
        <v>3.5714285714285712E-2</v>
      </c>
      <c r="AL17" s="18">
        <v>7.1428571428571425E-2</v>
      </c>
      <c r="AM17" s="18">
        <v>5.9523809523809521E-2</v>
      </c>
      <c r="AN17" s="18">
        <v>0</v>
      </c>
      <c r="AO17" s="18">
        <v>3.273809523809524E-2</v>
      </c>
      <c r="AP17" s="19">
        <v>5.5059523809523808E-2</v>
      </c>
      <c r="AQ17" s="19">
        <v>4.4642857142857144E-2</v>
      </c>
      <c r="AR17" s="19">
        <v>8.9285714285714281E-3</v>
      </c>
      <c r="AS17" s="19">
        <v>7.7380952380952384E-2</v>
      </c>
      <c r="AT17" s="19">
        <v>8.0357142857142863E-2</v>
      </c>
      <c r="AU17" s="19">
        <v>8.3333333333333329E-2</v>
      </c>
      <c r="AV17" s="19">
        <v>8.1845238095238096E-2</v>
      </c>
      <c r="AW17" s="19">
        <v>7.5892857142857137E-2</v>
      </c>
      <c r="AX17" s="28">
        <v>8.0357142857142863E-2</v>
      </c>
      <c r="AY17" s="19">
        <v>6.8452380952380959E-2</v>
      </c>
      <c r="AZ17" s="28">
        <v>0</v>
      </c>
      <c r="BA17" s="29">
        <v>0</v>
      </c>
      <c r="BB17" s="2"/>
    </row>
    <row r="18" spans="1:54">
      <c r="A18" s="27" t="s">
        <v>59</v>
      </c>
      <c r="B18" s="17">
        <v>3.1300000000000001E-2</v>
      </c>
      <c r="C18" s="17">
        <v>4.3154761904761904E-2</v>
      </c>
      <c r="D18" s="17">
        <v>3.7202380952380952E-2</v>
      </c>
      <c r="E18" s="17">
        <v>4.0178571428571432E-2</v>
      </c>
      <c r="F18" s="17">
        <v>3.5714285714285712E-2</v>
      </c>
      <c r="G18" s="17">
        <v>4.0178571428571432E-2</v>
      </c>
      <c r="H18" s="17">
        <v>4.0178571428571432E-2</v>
      </c>
      <c r="I18" s="17">
        <v>3.7202380952380952E-2</v>
      </c>
      <c r="J18" s="17">
        <v>3.125E-2</v>
      </c>
      <c r="K18" s="17">
        <v>3.5714285714285712E-2</v>
      </c>
      <c r="L18" s="17">
        <v>3.4226190476190479E-2</v>
      </c>
      <c r="M18" s="17">
        <v>3.125E-2</v>
      </c>
      <c r="N18" s="17">
        <v>3.4226190476190479E-2</v>
      </c>
      <c r="O18" s="17">
        <v>3.273809523809524E-2</v>
      </c>
      <c r="P18" s="17">
        <v>3.7202380952380952E-2</v>
      </c>
      <c r="Q18" s="17">
        <v>3.4226190476190479E-2</v>
      </c>
      <c r="R18" s="17">
        <v>4.1666666666666664E-2</v>
      </c>
      <c r="S18" s="17">
        <v>3.7202380952380952E-2</v>
      </c>
      <c r="T18" s="17">
        <v>3.7202380952380952E-2</v>
      </c>
      <c r="U18" s="17">
        <v>4.3402777777777776E-2</v>
      </c>
      <c r="V18" s="17">
        <v>3.5714285714285712E-2</v>
      </c>
      <c r="W18" s="17">
        <v>3.7369207772795218E-2</v>
      </c>
      <c r="X18" s="17">
        <v>4.9107142857142856E-2</v>
      </c>
      <c r="Y18" s="17">
        <v>4.7619047619047616E-2</v>
      </c>
      <c r="Z18" s="17">
        <v>3.5714285714285712E-2</v>
      </c>
      <c r="AA18" s="17">
        <v>3.7202380952380952E-2</v>
      </c>
      <c r="AB18" s="17">
        <v>3.4226190476190479E-2</v>
      </c>
      <c r="AC18" s="17">
        <v>3.4226190476190479E-2</v>
      </c>
      <c r="AD18" s="17">
        <v>4.0178571428571432E-2</v>
      </c>
      <c r="AE18" s="17">
        <v>2.8273809523809524E-2</v>
      </c>
      <c r="AF18" s="17">
        <v>3.7202380952380952E-2</v>
      </c>
      <c r="AG18" s="17">
        <v>3.125E-2</v>
      </c>
      <c r="AH18" s="17">
        <v>3.125E-2</v>
      </c>
      <c r="AI18" s="17">
        <v>3.4226190476190479E-2</v>
      </c>
      <c r="AJ18" s="17">
        <v>3.4226190476190479E-2</v>
      </c>
      <c r="AK18" s="18">
        <v>3.273809523809524E-2</v>
      </c>
      <c r="AL18" s="18">
        <v>3.4226190476190479E-2</v>
      </c>
      <c r="AM18" s="18">
        <v>3.5714285714285712E-2</v>
      </c>
      <c r="AN18" s="18">
        <v>4.1666666666666664E-2</v>
      </c>
      <c r="AO18" s="18">
        <v>3.5714285714285712E-2</v>
      </c>
      <c r="AP18" s="19">
        <v>3.5714285714285712E-2</v>
      </c>
      <c r="AQ18" s="19">
        <v>3.8690476190476192E-2</v>
      </c>
      <c r="AR18" s="19">
        <v>3.4226190476190479E-2</v>
      </c>
      <c r="AS18" s="19">
        <v>3.5714285714285712E-2</v>
      </c>
      <c r="AT18" s="19">
        <v>3.4226190476190479E-2</v>
      </c>
      <c r="AU18" s="19">
        <v>2.6785714285714284E-2</v>
      </c>
      <c r="AV18" s="19">
        <v>3.4226190476190479E-2</v>
      </c>
      <c r="AW18" s="19">
        <v>4.1666666666666664E-2</v>
      </c>
      <c r="AX18" s="28">
        <v>2.5297619047619048E-2</v>
      </c>
      <c r="AY18" s="19">
        <v>2.8273809523809524E-2</v>
      </c>
      <c r="AZ18" s="28">
        <v>3.125E-2</v>
      </c>
      <c r="BA18" s="29">
        <v>4.791666666666667E-2</v>
      </c>
      <c r="BB18" s="2"/>
    </row>
    <row r="19" spans="1:54">
      <c r="A19" s="27" t="s">
        <v>60</v>
      </c>
      <c r="B19" s="17">
        <v>2.0799999999999999E-2</v>
      </c>
      <c r="C19" s="17">
        <v>2.976190476190476E-2</v>
      </c>
      <c r="D19" s="17">
        <v>2.2321428571428572E-2</v>
      </c>
      <c r="E19" s="17">
        <v>2.8273809523809524E-2</v>
      </c>
      <c r="F19" s="17">
        <v>3.125E-2</v>
      </c>
      <c r="G19" s="17">
        <v>2.976190476190476E-2</v>
      </c>
      <c r="H19" s="17">
        <v>3.273809523809524E-2</v>
      </c>
      <c r="I19" s="17">
        <v>3.273809523809524E-2</v>
      </c>
      <c r="J19" s="17">
        <v>2.976190476190476E-2</v>
      </c>
      <c r="K19" s="17">
        <v>3.4226190476190479E-2</v>
      </c>
      <c r="L19" s="17">
        <v>3.8690476190476192E-2</v>
      </c>
      <c r="M19" s="17">
        <v>3.125E-2</v>
      </c>
      <c r="N19" s="17">
        <v>3.125E-2</v>
      </c>
      <c r="O19" s="17">
        <v>2.6785714285714284E-2</v>
      </c>
      <c r="P19" s="17">
        <v>3.5714285714285712E-2</v>
      </c>
      <c r="Q19" s="17">
        <v>2.6785714285714284E-2</v>
      </c>
      <c r="R19" s="17">
        <v>2.6785714285714284E-2</v>
      </c>
      <c r="S19" s="17">
        <v>2.8273809523809524E-2</v>
      </c>
      <c r="T19" s="17">
        <v>2.976190476190476E-2</v>
      </c>
      <c r="U19" s="17">
        <v>3.2986111111111112E-2</v>
      </c>
      <c r="V19" s="17">
        <v>2.6785714285714284E-2</v>
      </c>
      <c r="W19" s="17">
        <v>2.5411061285500747E-2</v>
      </c>
      <c r="X19" s="17">
        <v>2.8273809523809524E-2</v>
      </c>
      <c r="Y19" s="17">
        <v>3.125E-2</v>
      </c>
      <c r="Z19" s="17">
        <v>2.976190476190476E-2</v>
      </c>
      <c r="AA19" s="17">
        <v>2.6785714285714284E-2</v>
      </c>
      <c r="AB19" s="17">
        <v>2.976190476190476E-2</v>
      </c>
      <c r="AC19" s="17">
        <v>2.6785714285714284E-2</v>
      </c>
      <c r="AD19" s="17">
        <v>2.8273809523809524E-2</v>
      </c>
      <c r="AE19" s="17">
        <v>2.8273809523809524E-2</v>
      </c>
      <c r="AF19" s="17">
        <v>3.125E-2</v>
      </c>
      <c r="AG19" s="17">
        <v>3.3854166666666664E-2</v>
      </c>
      <c r="AH19" s="17">
        <v>2.8273809523809524E-2</v>
      </c>
      <c r="AI19" s="17">
        <v>2.5297619047619048E-2</v>
      </c>
      <c r="AJ19" s="17">
        <v>2.6785714285714284E-2</v>
      </c>
      <c r="AK19" s="18">
        <v>3.273809523809524E-2</v>
      </c>
      <c r="AL19" s="18">
        <v>3.5714285714285712E-2</v>
      </c>
      <c r="AM19" s="18">
        <v>2.2321428571428572E-2</v>
      </c>
      <c r="AN19" s="18">
        <v>2.8273809523809524E-2</v>
      </c>
      <c r="AO19" s="18">
        <v>2.5297619047619048E-2</v>
      </c>
      <c r="AP19" s="19">
        <v>2.2321428571428572E-2</v>
      </c>
      <c r="AQ19" s="19">
        <v>2.6785714285714284E-2</v>
      </c>
      <c r="AR19" s="19">
        <v>2.976190476190476E-2</v>
      </c>
      <c r="AS19" s="19">
        <v>2.3809523809523808E-2</v>
      </c>
      <c r="AT19" s="19">
        <v>3.125E-2</v>
      </c>
      <c r="AU19" s="19">
        <v>3.125E-2</v>
      </c>
      <c r="AV19" s="19">
        <v>2.976190476190476E-2</v>
      </c>
      <c r="AW19" s="19">
        <v>2.6785714285714284E-2</v>
      </c>
      <c r="AX19" s="28">
        <v>3.273809523809524E-2</v>
      </c>
      <c r="AY19" s="19">
        <v>2.2321428571428572E-2</v>
      </c>
      <c r="AZ19" s="28">
        <v>2.0833333333333332E-2</v>
      </c>
      <c r="BA19" s="29">
        <v>3.125E-2</v>
      </c>
      <c r="BB19" s="2"/>
    </row>
    <row r="20" spans="1:54">
      <c r="A20" s="30" t="s">
        <v>61</v>
      </c>
      <c r="B20" s="17">
        <v>9.0300000000000005E-2</v>
      </c>
      <c r="C20" s="17">
        <v>8.4821428571428575E-2</v>
      </c>
      <c r="D20" s="17">
        <v>6.25E-2</v>
      </c>
      <c r="E20" s="17">
        <v>7.8869047619047616E-2</v>
      </c>
      <c r="F20" s="17">
        <v>6.8452380952380959E-2</v>
      </c>
      <c r="G20" s="17">
        <v>8.7797619047619041E-2</v>
      </c>
      <c r="H20" s="17">
        <v>9.5238095238095233E-2</v>
      </c>
      <c r="I20" s="17">
        <v>0.10714285714285714</v>
      </c>
      <c r="J20" s="17">
        <v>6.6964285714285712E-2</v>
      </c>
      <c r="K20" s="17">
        <v>7.7380952380952384E-2</v>
      </c>
      <c r="L20" s="17">
        <v>9.8214285714285712E-2</v>
      </c>
      <c r="M20" s="17">
        <v>0</v>
      </c>
      <c r="N20" s="17">
        <v>9.2261904761904767E-2</v>
      </c>
      <c r="O20" s="17">
        <v>0.14285714285714285</v>
      </c>
      <c r="P20" s="17">
        <v>4.7619047619047616E-2</v>
      </c>
      <c r="Q20" s="17">
        <v>1.636904761904762E-2</v>
      </c>
      <c r="R20" s="17">
        <v>4.6130952380952384E-2</v>
      </c>
      <c r="S20" s="17">
        <v>2.2321428571428572E-2</v>
      </c>
      <c r="T20" s="17">
        <v>0.10714285714285714</v>
      </c>
      <c r="U20" s="17">
        <v>6.7708333333333329E-2</v>
      </c>
      <c r="V20" s="17">
        <v>0.14136904761904762</v>
      </c>
      <c r="W20" s="17">
        <v>0.17189835575485798</v>
      </c>
      <c r="X20" s="17">
        <v>0.125</v>
      </c>
      <c r="Y20" s="17">
        <v>0.10119047619047619</v>
      </c>
      <c r="Z20" s="17">
        <v>5.2083333333333336E-2</v>
      </c>
      <c r="AA20" s="17">
        <v>0.10267857142857142</v>
      </c>
      <c r="AB20" s="17">
        <v>8.9285714285714288E-2</v>
      </c>
      <c r="AC20" s="17">
        <v>0.11160714285714286</v>
      </c>
      <c r="AD20" s="17">
        <v>0.13988095238095238</v>
      </c>
      <c r="AE20" s="17">
        <v>0.17113095238095238</v>
      </c>
      <c r="AF20" s="17">
        <v>0.14880952380952381</v>
      </c>
      <c r="AG20" s="17">
        <v>0.19010416666666666</v>
      </c>
      <c r="AH20" s="17">
        <v>0.15922619047619047</v>
      </c>
      <c r="AI20" s="17">
        <v>0.16964285714285715</v>
      </c>
      <c r="AJ20" s="17">
        <v>0.19642857142857142</v>
      </c>
      <c r="AK20" s="18">
        <v>0.12053571428571429</v>
      </c>
      <c r="AL20" s="18">
        <v>8.0357142857142863E-2</v>
      </c>
      <c r="AM20" s="18">
        <v>3.5714285714285712E-2</v>
      </c>
      <c r="AN20" s="18">
        <v>0.20684523809523808</v>
      </c>
      <c r="AO20" s="18">
        <v>9.6726190476190479E-2</v>
      </c>
      <c r="AP20" s="19">
        <v>7.5892857142857137E-2</v>
      </c>
      <c r="AQ20" s="19">
        <v>7.4404761904761904E-2</v>
      </c>
      <c r="AR20" s="19">
        <v>0.1056547619047619</v>
      </c>
      <c r="AS20" s="19">
        <v>4.6130952380952384E-2</v>
      </c>
      <c r="AT20" s="19">
        <v>5.0595238095238096E-2</v>
      </c>
      <c r="AU20" s="19">
        <v>7.5892857142857137E-2</v>
      </c>
      <c r="AV20" s="19">
        <v>2.8273809523809524E-2</v>
      </c>
      <c r="AW20" s="19">
        <v>1.488095238095238E-3</v>
      </c>
      <c r="AX20" s="31">
        <v>1.9345238095238096E-2</v>
      </c>
      <c r="AY20" s="19">
        <v>4.4642857142857144E-2</v>
      </c>
      <c r="AZ20" s="32">
        <v>0.1130952380952381</v>
      </c>
      <c r="BA20" s="33">
        <v>0.14791666666666667</v>
      </c>
      <c r="BB20" s="2"/>
    </row>
    <row r="21" spans="1:54">
      <c r="A21" s="27" t="s">
        <v>62</v>
      </c>
      <c r="B21" s="17">
        <v>6.8999999999999999E-3</v>
      </c>
      <c r="C21" s="17">
        <v>5.6547619047619048E-2</v>
      </c>
      <c r="D21" s="17">
        <v>4.6130952380952384E-2</v>
      </c>
      <c r="E21" s="17">
        <v>3.125E-2</v>
      </c>
      <c r="F21" s="17">
        <v>3.273809523809524E-2</v>
      </c>
      <c r="G21" s="17">
        <v>6.101190476190476E-2</v>
      </c>
      <c r="H21" s="17">
        <v>3.4226190476190479E-2</v>
      </c>
      <c r="I21" s="17">
        <v>4.4642857142857144E-2</v>
      </c>
      <c r="J21" s="17">
        <v>5.2083333333333336E-2</v>
      </c>
      <c r="K21" s="17">
        <v>4.1666666666666664E-2</v>
      </c>
      <c r="L21" s="17">
        <v>8.4821428571428575E-2</v>
      </c>
      <c r="M21" s="17">
        <v>8.3333333333333329E-2</v>
      </c>
      <c r="N21" s="17">
        <v>0.11458333333333333</v>
      </c>
      <c r="O21" s="17">
        <v>4.9107142857142856E-2</v>
      </c>
      <c r="P21" s="17">
        <v>5.8035714285714288E-2</v>
      </c>
      <c r="Q21" s="17">
        <v>8.1845238095238096E-2</v>
      </c>
      <c r="R21" s="17">
        <v>7.5892857142857137E-2</v>
      </c>
      <c r="S21" s="17">
        <v>6.9940476190476192E-2</v>
      </c>
      <c r="T21" s="17">
        <v>9.5238095238095233E-2</v>
      </c>
      <c r="U21" s="17">
        <v>0.1076388888888889</v>
      </c>
      <c r="V21" s="17">
        <v>0.12202380952380952</v>
      </c>
      <c r="W21" s="17">
        <v>7.9222720478325862E-2</v>
      </c>
      <c r="X21" s="17">
        <v>0.10267857142857142</v>
      </c>
      <c r="Y21" s="17">
        <v>8.0357142857142863E-2</v>
      </c>
      <c r="Z21" s="17">
        <v>8.9285714285714288E-2</v>
      </c>
      <c r="AA21" s="17">
        <v>3.125E-2</v>
      </c>
      <c r="AB21" s="17">
        <v>4.9107142857142856E-2</v>
      </c>
      <c r="AC21" s="17">
        <v>6.101190476190476E-2</v>
      </c>
      <c r="AD21" s="17">
        <v>1.488095238095238E-2</v>
      </c>
      <c r="AE21" s="17">
        <v>5.5059523809523808E-2</v>
      </c>
      <c r="AF21" s="17">
        <v>5.0595238095238096E-2</v>
      </c>
      <c r="AG21" s="17">
        <v>7.2916666666666671E-2</v>
      </c>
      <c r="AH21" s="17">
        <v>0.15476190476190477</v>
      </c>
      <c r="AI21" s="17">
        <v>0.17857142857142858</v>
      </c>
      <c r="AJ21" s="17">
        <v>5.3571428571428568E-2</v>
      </c>
      <c r="AK21" s="18">
        <v>5.8035714285714288E-2</v>
      </c>
      <c r="AL21" s="18">
        <v>6.5476190476190479E-2</v>
      </c>
      <c r="AM21" s="18">
        <v>6.8452380952380959E-2</v>
      </c>
      <c r="AN21" s="18">
        <v>4.1666666666666664E-2</v>
      </c>
      <c r="AO21" s="18">
        <v>0.10267857142857142</v>
      </c>
      <c r="AP21" s="19">
        <v>0.12202380952380952</v>
      </c>
      <c r="AQ21" s="19">
        <v>0.11607142857142858</v>
      </c>
      <c r="AR21" s="19">
        <v>9.8214285714285712E-2</v>
      </c>
      <c r="AS21" s="19">
        <v>8.7797619047619041E-2</v>
      </c>
      <c r="AT21" s="19">
        <v>4.6130952380952384E-2</v>
      </c>
      <c r="AU21" s="19">
        <v>9.6726190476190479E-2</v>
      </c>
      <c r="AV21" s="19">
        <v>0.12648809523809523</v>
      </c>
      <c r="AW21" s="19">
        <v>0.13988095238095238</v>
      </c>
      <c r="AX21" s="28">
        <v>0.12202380952380952</v>
      </c>
      <c r="AY21" s="19">
        <v>0.14732142857142858</v>
      </c>
      <c r="AZ21" s="28">
        <v>0.16220238095238096</v>
      </c>
      <c r="BA21" s="29">
        <v>5.6250000000000001E-2</v>
      </c>
      <c r="BB21" s="2"/>
    </row>
    <row r="22" spans="1:54" ht="15">
      <c r="A22" s="30" t="s">
        <v>63</v>
      </c>
      <c r="B22" s="17">
        <v>0.2465</v>
      </c>
      <c r="C22" s="17">
        <v>0.20386904761904762</v>
      </c>
      <c r="D22" s="17">
        <v>0.19940476190476192</v>
      </c>
      <c r="E22" s="17">
        <v>0.18005952380952381</v>
      </c>
      <c r="F22" s="17">
        <v>0.19642857142857142</v>
      </c>
      <c r="G22" s="17">
        <v>0.25892857142857145</v>
      </c>
      <c r="H22" s="17">
        <v>0.19642857142857142</v>
      </c>
      <c r="I22" s="17">
        <v>0.19196428571428573</v>
      </c>
      <c r="J22" s="17">
        <v>0.19345238095238096</v>
      </c>
      <c r="K22" s="17">
        <v>0.2544642857142857</v>
      </c>
      <c r="L22" s="17">
        <v>0.24553571428571427</v>
      </c>
      <c r="M22" s="17">
        <v>0.33333333333333331</v>
      </c>
      <c r="N22" s="17">
        <v>0.27380952380952384</v>
      </c>
      <c r="O22" s="17">
        <v>0.22172619047619047</v>
      </c>
      <c r="P22" s="17">
        <v>0.24404761904761904</v>
      </c>
      <c r="Q22" s="17">
        <v>0.27083333333333331</v>
      </c>
      <c r="R22" s="17">
        <v>0.26190476190476192</v>
      </c>
      <c r="S22" s="17">
        <v>0.30654761904761907</v>
      </c>
      <c r="T22" s="17">
        <v>0.23214285714285715</v>
      </c>
      <c r="U22" s="17">
        <v>0.32465277777777779</v>
      </c>
      <c r="V22" s="17">
        <v>0.24851190476190477</v>
      </c>
      <c r="W22" s="17">
        <v>0.26307922272047835</v>
      </c>
      <c r="X22" s="17">
        <v>0.28273809523809523</v>
      </c>
      <c r="Y22" s="17">
        <v>0.24702380952380953</v>
      </c>
      <c r="Z22" s="17">
        <v>0.26934523809523808</v>
      </c>
      <c r="AA22" s="17">
        <v>0.22172619047619047</v>
      </c>
      <c r="AB22" s="17">
        <v>0.20833333333333334</v>
      </c>
      <c r="AC22" s="17">
        <v>0.17559523809523808</v>
      </c>
      <c r="AD22" s="17">
        <v>0.22023809523809523</v>
      </c>
      <c r="AE22" s="17">
        <v>0.17857142857142858</v>
      </c>
      <c r="AF22" s="17">
        <v>0.16815476190476192</v>
      </c>
      <c r="AG22" s="17">
        <v>0.13541666666666666</v>
      </c>
      <c r="AH22" s="17">
        <v>0.13541666666666666</v>
      </c>
      <c r="AI22" s="17">
        <v>0.16220238095238096</v>
      </c>
      <c r="AJ22" s="17">
        <v>0.16071428571428573</v>
      </c>
      <c r="AK22" s="18">
        <v>0.15178571428571427</v>
      </c>
      <c r="AL22" s="18">
        <v>0.16964285714285715</v>
      </c>
      <c r="AM22" s="18">
        <v>0.26190476190476192</v>
      </c>
      <c r="AN22" s="18">
        <v>0.24255952380952381</v>
      </c>
      <c r="AO22" s="18">
        <v>0.16071428571428573</v>
      </c>
      <c r="AP22" s="19">
        <v>0.20238095238095238</v>
      </c>
      <c r="AQ22" s="19">
        <v>0.19196428571428573</v>
      </c>
      <c r="AR22" s="19">
        <v>0.23363095238095238</v>
      </c>
      <c r="AS22" s="19">
        <v>0.18898809523809523</v>
      </c>
      <c r="AT22" s="19">
        <v>0.22023809523809523</v>
      </c>
      <c r="AU22" s="19">
        <v>0.16220238095238096</v>
      </c>
      <c r="AV22" s="19">
        <v>0.19196428571428573</v>
      </c>
      <c r="AW22" s="19">
        <v>0.15922619047619047</v>
      </c>
      <c r="AX22" s="34">
        <v>0.15922619047619047</v>
      </c>
      <c r="AY22" s="19">
        <v>0.19345238095238096</v>
      </c>
      <c r="AZ22" s="35">
        <v>0.22916666666666666</v>
      </c>
      <c r="BA22" s="36">
        <v>0.18541666666666667</v>
      </c>
      <c r="BB22" s="2"/>
    </row>
    <row r="23" spans="1:54" ht="15">
      <c r="A23" s="23" t="s">
        <v>64</v>
      </c>
      <c r="B23" s="17">
        <v>0</v>
      </c>
      <c r="C23" s="17">
        <v>1.636904761904762E-2</v>
      </c>
      <c r="D23" s="17">
        <v>8.9285714285714281E-3</v>
      </c>
      <c r="E23" s="17">
        <v>2.0833333333333332E-2</v>
      </c>
      <c r="F23" s="17">
        <v>2.976190476190476E-2</v>
      </c>
      <c r="G23" s="17">
        <v>1.488095238095238E-2</v>
      </c>
      <c r="H23" s="17">
        <v>2.3809523809523808E-2</v>
      </c>
      <c r="I23" s="17">
        <v>3.273809523809524E-2</v>
      </c>
      <c r="J23" s="17">
        <v>3.4226190476190479E-2</v>
      </c>
      <c r="K23" s="17">
        <v>4.4642857142857144E-2</v>
      </c>
      <c r="L23" s="17">
        <v>5.0595238095238096E-2</v>
      </c>
      <c r="M23" s="17">
        <v>0.15625</v>
      </c>
      <c r="N23" s="17">
        <v>9.0773809523809521E-2</v>
      </c>
      <c r="O23" s="17">
        <v>4.6130952380952384E-2</v>
      </c>
      <c r="P23" s="17">
        <v>1.488095238095238E-2</v>
      </c>
      <c r="Q23" s="17">
        <v>1.3392857142857142E-2</v>
      </c>
      <c r="R23" s="17">
        <v>3.7202380952380952E-2</v>
      </c>
      <c r="S23" s="17">
        <v>4.464285714285714E-3</v>
      </c>
      <c r="T23" s="17">
        <v>4.464285714285714E-3</v>
      </c>
      <c r="U23" s="17">
        <v>4.1666666666666664E-2</v>
      </c>
      <c r="V23" s="17">
        <v>1.3392857142857142E-2</v>
      </c>
      <c r="W23" s="17">
        <v>2.0926756352765322E-2</v>
      </c>
      <c r="X23" s="17">
        <v>8.9285714285714281E-3</v>
      </c>
      <c r="Y23" s="17">
        <v>1.9345238095238096E-2</v>
      </c>
      <c r="Z23" s="17">
        <v>3.4226190476190479E-2</v>
      </c>
      <c r="AA23" s="17">
        <v>3.8690476190476192E-2</v>
      </c>
      <c r="AB23" s="17">
        <v>1.1904761904761904E-2</v>
      </c>
      <c r="AC23" s="17">
        <v>1.636904761904762E-2</v>
      </c>
      <c r="AD23" s="17">
        <v>7.4404761904761901E-3</v>
      </c>
      <c r="AE23" s="17">
        <v>1.636904761904762E-2</v>
      </c>
      <c r="AF23" s="17">
        <v>5.9523809523809521E-3</v>
      </c>
      <c r="AG23" s="17">
        <v>2.34375E-2</v>
      </c>
      <c r="AH23" s="17">
        <v>2.976190476190476E-2</v>
      </c>
      <c r="AI23" s="17">
        <v>5.2083333333333336E-2</v>
      </c>
      <c r="AJ23" s="17">
        <v>1.636904761904762E-2</v>
      </c>
      <c r="AK23" s="18">
        <v>5.2083333333333336E-2</v>
      </c>
      <c r="AL23" s="18">
        <v>1.9345238095238096E-2</v>
      </c>
      <c r="AM23" s="18">
        <v>4.6130952380952384E-2</v>
      </c>
      <c r="AN23" s="18">
        <v>8.9285714285714281E-3</v>
      </c>
      <c r="AO23" s="18">
        <v>2.6785714285714284E-2</v>
      </c>
      <c r="AP23" s="19">
        <v>4.3154761904761904E-2</v>
      </c>
      <c r="AQ23" s="19">
        <v>4.3154761904761904E-2</v>
      </c>
      <c r="AR23" s="19">
        <v>3.4226190476190479E-2</v>
      </c>
      <c r="AS23" s="19">
        <v>1.3392857142857142E-2</v>
      </c>
      <c r="AT23" s="19">
        <v>2.6785714285714284E-2</v>
      </c>
      <c r="AU23" s="19">
        <v>2.976190476190476E-2</v>
      </c>
      <c r="AV23" s="19">
        <v>1.0416666666666666E-2</v>
      </c>
      <c r="AW23" s="19">
        <v>5.2083333333333336E-2</v>
      </c>
      <c r="AX23" s="28">
        <v>1.636904761904762E-2</v>
      </c>
      <c r="AY23" s="19">
        <v>1.488095238095238E-2</v>
      </c>
      <c r="AZ23" s="28">
        <v>2.2321428571428572E-2</v>
      </c>
      <c r="BA23" s="29">
        <v>3.125E-2</v>
      </c>
      <c r="BB23" s="2"/>
    </row>
    <row r="24" spans="1:54" ht="15">
      <c r="A24" s="27" t="s">
        <v>65</v>
      </c>
      <c r="B24" s="17">
        <v>3.8199999999999998E-2</v>
      </c>
      <c r="C24" s="17">
        <v>2.0833333333333332E-2</v>
      </c>
      <c r="D24" s="17">
        <v>2.976190476190476E-2</v>
      </c>
      <c r="E24" s="17">
        <v>3.273809523809524E-2</v>
      </c>
      <c r="F24" s="17">
        <v>1.9345238095238096E-2</v>
      </c>
      <c r="G24" s="17">
        <v>2.8273809523809524E-2</v>
      </c>
      <c r="H24" s="17">
        <v>2.6785714285714284E-2</v>
      </c>
      <c r="I24" s="17">
        <v>1.9345238095238096E-2</v>
      </c>
      <c r="J24" s="17">
        <v>1.7857142857142856E-2</v>
      </c>
      <c r="K24" s="17">
        <v>5.9523809523809521E-2</v>
      </c>
      <c r="L24" s="17">
        <v>2.2321428571428572E-2</v>
      </c>
      <c r="M24" s="17">
        <v>8.3333333333333329E-2</v>
      </c>
      <c r="N24" s="17">
        <v>8.9285714285714281E-3</v>
      </c>
      <c r="O24" s="17">
        <v>2.8273809523809524E-2</v>
      </c>
      <c r="P24" s="17">
        <v>1.9345238095238096E-2</v>
      </c>
      <c r="Q24" s="17">
        <v>2.0833333333333332E-2</v>
      </c>
      <c r="R24" s="17">
        <v>2.5297619047619048E-2</v>
      </c>
      <c r="S24" s="17">
        <v>3.5714285714285712E-2</v>
      </c>
      <c r="T24" s="17">
        <v>4.6130952380952384E-2</v>
      </c>
      <c r="U24" s="17">
        <v>5.5555555555555552E-2</v>
      </c>
      <c r="V24" s="17">
        <v>5.8035714285714288E-2</v>
      </c>
      <c r="W24" s="17">
        <v>2.0926756352765322E-2</v>
      </c>
      <c r="X24" s="17">
        <v>4.7619047619047616E-2</v>
      </c>
      <c r="Y24" s="17">
        <v>5.9523809523809521E-2</v>
      </c>
      <c r="Z24" s="17">
        <v>2.976190476190476E-2</v>
      </c>
      <c r="AA24" s="17">
        <v>1.636904761904762E-2</v>
      </c>
      <c r="AB24" s="17">
        <v>1.3392857142857142E-2</v>
      </c>
      <c r="AC24" s="17">
        <v>2.976190476190476E-2</v>
      </c>
      <c r="AD24" s="17">
        <v>5.0595238095238096E-2</v>
      </c>
      <c r="AE24" s="17">
        <v>2.3809523809523808E-2</v>
      </c>
      <c r="AF24" s="17">
        <v>4.0178571428571432E-2</v>
      </c>
      <c r="AG24" s="17">
        <v>3.125E-2</v>
      </c>
      <c r="AH24" s="17">
        <v>5.9523809523809521E-2</v>
      </c>
      <c r="AI24" s="17">
        <v>1.1904761904761904E-2</v>
      </c>
      <c r="AJ24" s="17">
        <v>2.3809523809523808E-2</v>
      </c>
      <c r="AK24" s="18">
        <v>8.0357142857142863E-2</v>
      </c>
      <c r="AL24" s="18">
        <v>4.6130952380952384E-2</v>
      </c>
      <c r="AM24" s="18">
        <v>5.3571428571428568E-2</v>
      </c>
      <c r="AN24" s="18">
        <v>3.4226190476190479E-2</v>
      </c>
      <c r="AO24" s="18">
        <v>3.4226190476190479E-2</v>
      </c>
      <c r="AP24" s="19">
        <v>1.1904761904761904E-2</v>
      </c>
      <c r="AQ24" s="19">
        <v>1.488095238095238E-2</v>
      </c>
      <c r="AR24" s="19">
        <v>2.6785714285714284E-2</v>
      </c>
      <c r="AS24" s="19">
        <v>3.273809523809524E-2</v>
      </c>
      <c r="AT24" s="19">
        <v>4.1666666666666664E-2</v>
      </c>
      <c r="AU24" s="19">
        <v>2.2321428571428572E-2</v>
      </c>
      <c r="AV24" s="19">
        <v>2.6785714285714284E-2</v>
      </c>
      <c r="AW24" s="19">
        <v>5.9523809523809521E-3</v>
      </c>
      <c r="AX24" s="28">
        <v>1.0416666666666666E-2</v>
      </c>
      <c r="AY24" s="19">
        <v>7.4404761904761901E-3</v>
      </c>
      <c r="AZ24" s="28">
        <v>2.2321428571428572E-2</v>
      </c>
      <c r="BA24" s="29">
        <v>2.5000000000000001E-2</v>
      </c>
      <c r="BB24" s="2"/>
    </row>
    <row r="25" spans="1:54" ht="15">
      <c r="A25" s="27" t="s">
        <v>66</v>
      </c>
      <c r="B25" s="17">
        <v>1.7399999999999999E-2</v>
      </c>
      <c r="C25" s="17">
        <v>2.2321428571428572E-2</v>
      </c>
      <c r="D25" s="17">
        <v>2.0833333333333332E-2</v>
      </c>
      <c r="E25" s="17">
        <v>3.5714285714285712E-2</v>
      </c>
      <c r="F25" s="17">
        <v>3.273809523809524E-2</v>
      </c>
      <c r="G25" s="17">
        <v>1.1904761904761904E-2</v>
      </c>
      <c r="H25" s="17">
        <v>3.4226190476190479E-2</v>
      </c>
      <c r="I25" s="17">
        <v>2.976190476190476E-2</v>
      </c>
      <c r="J25" s="17">
        <v>2.6785714285714284E-2</v>
      </c>
      <c r="K25" s="17">
        <v>2.3809523809523808E-2</v>
      </c>
      <c r="L25" s="17">
        <v>2.6785714285714284E-2</v>
      </c>
      <c r="M25" s="17">
        <v>0</v>
      </c>
      <c r="N25" s="17">
        <v>8.9285714285714281E-3</v>
      </c>
      <c r="O25" s="17">
        <v>2.0833333333333332E-2</v>
      </c>
      <c r="P25" s="17">
        <v>1.636904761904762E-2</v>
      </c>
      <c r="Q25" s="17">
        <v>1.488095238095238E-2</v>
      </c>
      <c r="R25" s="17">
        <v>2.0833333333333332E-2</v>
      </c>
      <c r="S25" s="17">
        <v>1.9345238095238096E-2</v>
      </c>
      <c r="T25" s="17">
        <v>4.464285714285714E-3</v>
      </c>
      <c r="U25" s="17">
        <v>5.208333333333333E-3</v>
      </c>
      <c r="V25" s="17">
        <v>8.9285714285714281E-3</v>
      </c>
      <c r="W25" s="17">
        <v>1.195814648729447E-2</v>
      </c>
      <c r="X25" s="17">
        <v>4.464285714285714E-3</v>
      </c>
      <c r="Y25" s="17">
        <v>1.0416666666666666E-2</v>
      </c>
      <c r="Z25" s="17">
        <v>8.9285714285714281E-3</v>
      </c>
      <c r="AA25" s="17">
        <v>1.636904761904762E-2</v>
      </c>
      <c r="AB25" s="17">
        <v>1.7857142857142856E-2</v>
      </c>
      <c r="AC25" s="17">
        <v>1.636904761904762E-2</v>
      </c>
      <c r="AD25" s="17">
        <v>1.636904761904762E-2</v>
      </c>
      <c r="AE25" s="17">
        <v>1.3392857142857142E-2</v>
      </c>
      <c r="AF25" s="17">
        <v>1.7857142857142856E-2</v>
      </c>
      <c r="AG25" s="17">
        <v>1.0416666666666666E-2</v>
      </c>
      <c r="AH25" s="17">
        <v>5.9523809523809521E-3</v>
      </c>
      <c r="AI25" s="18">
        <v>1.1904761904761904E-2</v>
      </c>
      <c r="AJ25" s="17">
        <v>8.9285714285714281E-3</v>
      </c>
      <c r="AK25" s="18">
        <v>7.4404761904761901E-3</v>
      </c>
      <c r="AL25" s="18">
        <v>1.488095238095238E-3</v>
      </c>
      <c r="AM25" s="18">
        <v>0</v>
      </c>
      <c r="AN25" s="18">
        <v>1.488095238095238E-3</v>
      </c>
      <c r="AO25" s="18">
        <v>1.7857142857142856E-2</v>
      </c>
      <c r="AP25" s="19">
        <v>1.1904761904761904E-2</v>
      </c>
      <c r="AQ25" s="19">
        <v>7.4404761904761901E-3</v>
      </c>
      <c r="AR25" s="19">
        <v>4.464285714285714E-3</v>
      </c>
      <c r="AS25" s="19">
        <v>1.9345238095238096E-2</v>
      </c>
      <c r="AT25" s="19">
        <v>1.3392857142857142E-2</v>
      </c>
      <c r="AU25" s="19">
        <v>1.7857142857142856E-2</v>
      </c>
      <c r="AV25" s="19">
        <v>1.1904761904761904E-2</v>
      </c>
      <c r="AW25" s="19">
        <v>1.488095238095238E-2</v>
      </c>
      <c r="AX25" s="28">
        <v>2.5297619047619048E-2</v>
      </c>
      <c r="AY25" s="19">
        <v>2.976190476190476E-3</v>
      </c>
      <c r="AZ25" s="28">
        <v>0</v>
      </c>
      <c r="BA25" s="29">
        <v>6.2500000000000003E-3</v>
      </c>
      <c r="BB25" s="2"/>
    </row>
    <row r="26" spans="1:54" ht="15">
      <c r="A26" s="37" t="s">
        <v>67</v>
      </c>
      <c r="B26" s="17">
        <v>1.7399999999999999E-2</v>
      </c>
      <c r="C26" s="17">
        <v>0</v>
      </c>
      <c r="D26" s="17">
        <v>4.464285714285714E-3</v>
      </c>
      <c r="E26" s="17">
        <v>0</v>
      </c>
      <c r="F26" s="17">
        <v>1.1904761904761904E-2</v>
      </c>
      <c r="G26" s="17">
        <v>2.2321428571428572E-2</v>
      </c>
      <c r="H26" s="17">
        <v>1.488095238095238E-3</v>
      </c>
      <c r="I26" s="17">
        <v>4.464285714285714E-3</v>
      </c>
      <c r="J26" s="17">
        <v>1.1904761904761904E-2</v>
      </c>
      <c r="K26" s="17">
        <v>2.6785714285714284E-2</v>
      </c>
      <c r="L26" s="17">
        <v>2.0833333333333332E-2</v>
      </c>
      <c r="M26" s="17">
        <v>0</v>
      </c>
      <c r="N26" s="17">
        <v>5.5059523809523808E-2</v>
      </c>
      <c r="O26" s="17">
        <v>0</v>
      </c>
      <c r="P26" s="17">
        <v>4.1666666666666664E-2</v>
      </c>
      <c r="Q26" s="17">
        <v>3.7202380952380952E-2</v>
      </c>
      <c r="R26" s="17">
        <v>2.3809523809523808E-2</v>
      </c>
      <c r="S26" s="17">
        <v>3.125E-2</v>
      </c>
      <c r="T26" s="17">
        <v>5.6547619047619048E-2</v>
      </c>
      <c r="U26" s="17">
        <v>6.9444444444444441E-3</v>
      </c>
      <c r="V26" s="17">
        <v>4.7619047619047616E-2</v>
      </c>
      <c r="W26" s="17">
        <v>7.623318385650224E-2</v>
      </c>
      <c r="X26" s="17">
        <v>5.9523809523809521E-2</v>
      </c>
      <c r="Y26" s="17">
        <v>9.5238095238095233E-2</v>
      </c>
      <c r="Z26" s="17">
        <v>6.6964285714285712E-2</v>
      </c>
      <c r="AA26" s="17">
        <v>3.8690476190476192E-2</v>
      </c>
      <c r="AB26" s="17">
        <v>4.9107142857142856E-2</v>
      </c>
      <c r="AC26" s="17">
        <v>5.2083333333333336E-2</v>
      </c>
      <c r="AD26" s="17">
        <v>6.25E-2</v>
      </c>
      <c r="AE26" s="17">
        <v>4.6130952380952384E-2</v>
      </c>
      <c r="AF26" s="17">
        <v>3.7202380952380952E-2</v>
      </c>
      <c r="AG26" s="17">
        <v>1.5625E-2</v>
      </c>
      <c r="AH26" s="17">
        <v>1.9345238095238096E-2</v>
      </c>
      <c r="AI26" s="18">
        <v>2.8273809523809524E-2</v>
      </c>
      <c r="AJ26" s="17">
        <v>2.3809523809523808E-2</v>
      </c>
      <c r="AK26" s="18">
        <v>2.976190476190476E-2</v>
      </c>
      <c r="AL26" s="18">
        <v>3.7202380952380952E-2</v>
      </c>
      <c r="AM26" s="18">
        <v>3.273809523809524E-2</v>
      </c>
      <c r="AN26" s="18">
        <v>5.9523809523809521E-2</v>
      </c>
      <c r="AO26" s="18">
        <v>4.0178571428571432E-2</v>
      </c>
      <c r="AP26" s="19">
        <v>4.9107142857142856E-2</v>
      </c>
      <c r="AQ26" s="19">
        <v>7.4404761904761904E-2</v>
      </c>
      <c r="AR26" s="19">
        <v>4.0178571428571432E-2</v>
      </c>
      <c r="AS26" s="19">
        <v>6.3988095238095233E-2</v>
      </c>
      <c r="AT26" s="19">
        <v>4.4642857142857144E-2</v>
      </c>
      <c r="AU26" s="19">
        <v>5.5059523809523808E-2</v>
      </c>
      <c r="AV26" s="19">
        <v>5.6547619047619048E-2</v>
      </c>
      <c r="AW26" s="19">
        <v>5.5059523809523808E-2</v>
      </c>
      <c r="AX26" s="38">
        <v>6.25E-2</v>
      </c>
      <c r="AY26" s="19">
        <v>5.2083333333333336E-2</v>
      </c>
      <c r="AZ26" s="39">
        <v>5.8035714285714288E-2</v>
      </c>
      <c r="BA26" s="40">
        <v>6.6666666666666666E-2</v>
      </c>
      <c r="BB26" s="2"/>
    </row>
    <row r="27" spans="1:54" ht="15">
      <c r="A27" s="27" t="s">
        <v>68</v>
      </c>
      <c r="B27" s="17">
        <v>3.8199999999999998E-2</v>
      </c>
      <c r="C27" s="17">
        <v>4.1666666666666664E-2</v>
      </c>
      <c r="D27" s="17">
        <v>4.3154761904761904E-2</v>
      </c>
      <c r="E27" s="17">
        <v>5.5059523809523808E-2</v>
      </c>
      <c r="F27" s="17">
        <v>6.101190476190476E-2</v>
      </c>
      <c r="G27" s="17">
        <v>2.2321428571428572E-2</v>
      </c>
      <c r="H27" s="17">
        <v>4.9107142857142856E-2</v>
      </c>
      <c r="I27" s="17">
        <v>5.9523809523809521E-2</v>
      </c>
      <c r="J27" s="17">
        <v>6.3988095238095233E-2</v>
      </c>
      <c r="K27" s="17">
        <v>5.0595238095238096E-2</v>
      </c>
      <c r="L27" s="17">
        <v>5.8035714285714288E-2</v>
      </c>
      <c r="M27" s="17">
        <v>0</v>
      </c>
      <c r="N27" s="17">
        <v>0</v>
      </c>
      <c r="O27" s="17">
        <v>5.0595238095238096E-2</v>
      </c>
      <c r="P27" s="17">
        <v>3.4226190476190479E-2</v>
      </c>
      <c r="Q27" s="17">
        <v>3.273809523809524E-2</v>
      </c>
      <c r="R27" s="17">
        <v>3.7202380952380952E-2</v>
      </c>
      <c r="S27" s="17">
        <v>4.0178571428571432E-2</v>
      </c>
      <c r="T27" s="17">
        <v>4.464285714285714E-3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8.9285714285714281E-3</v>
      </c>
      <c r="AA27" s="17">
        <v>2.8273809523809524E-2</v>
      </c>
      <c r="AB27" s="17">
        <v>4.0178571428571432E-2</v>
      </c>
      <c r="AC27" s="17">
        <v>2.976190476190476E-2</v>
      </c>
      <c r="AD27" s="17">
        <v>5.9523809523809521E-3</v>
      </c>
      <c r="AE27" s="17">
        <v>2.976190476190476E-2</v>
      </c>
      <c r="AF27" s="17">
        <v>4.0178571428571432E-2</v>
      </c>
      <c r="AG27" s="17">
        <v>9.8958333333333329E-2</v>
      </c>
      <c r="AH27" s="17">
        <v>5.9523809523809521E-2</v>
      </c>
      <c r="AI27" s="18">
        <v>1.1904761904761904E-2</v>
      </c>
      <c r="AJ27" s="41">
        <v>1.636904761904762E-2</v>
      </c>
      <c r="AK27" s="18">
        <v>1.488095238095238E-2</v>
      </c>
      <c r="AL27" s="18">
        <v>2.3809523809523808E-2</v>
      </c>
      <c r="AM27" s="18">
        <v>1.3392857142857142E-2</v>
      </c>
      <c r="AN27" s="18">
        <v>0</v>
      </c>
      <c r="AO27" s="18">
        <v>2.3809523809523808E-2</v>
      </c>
      <c r="AP27" s="19">
        <v>2.5297619047619048E-2</v>
      </c>
      <c r="AQ27" s="19">
        <v>2.8273809523809524E-2</v>
      </c>
      <c r="AR27" s="19">
        <v>2.8273809523809524E-2</v>
      </c>
      <c r="AS27" s="19">
        <v>4.1666666666666664E-2</v>
      </c>
      <c r="AT27" s="19">
        <v>3.5714285714285712E-2</v>
      </c>
      <c r="AU27" s="19">
        <v>2.976190476190476E-2</v>
      </c>
      <c r="AV27" s="19">
        <v>1.7857142857142856E-2</v>
      </c>
      <c r="AW27" s="19">
        <v>2.6785714285714284E-2</v>
      </c>
      <c r="AX27" s="28">
        <v>3.125E-2</v>
      </c>
      <c r="AY27" s="19">
        <v>3.8690476190476192E-2</v>
      </c>
      <c r="AZ27" s="28">
        <v>5.9523809523809521E-3</v>
      </c>
      <c r="BA27" s="29">
        <v>3.3333333333333333E-2</v>
      </c>
      <c r="BB27" s="2"/>
    </row>
    <row r="28" spans="1:54" ht="15">
      <c r="A28" s="42" t="s">
        <v>69</v>
      </c>
      <c r="B28" s="18">
        <v>2.7799999999999998E-2</v>
      </c>
      <c r="C28" s="18">
        <v>4.3154761904761904E-2</v>
      </c>
      <c r="D28" s="18">
        <v>3.4226190476190479E-2</v>
      </c>
      <c r="E28" s="18">
        <v>3.4226190476190479E-2</v>
      </c>
      <c r="F28" s="18">
        <v>4.6130952380952384E-2</v>
      </c>
      <c r="G28" s="18">
        <v>3.4226190476190479E-2</v>
      </c>
      <c r="H28" s="18">
        <v>3.125E-2</v>
      </c>
      <c r="I28" s="18">
        <v>3.273809523809524E-2</v>
      </c>
      <c r="J28" s="18">
        <v>4.4642857142857144E-2</v>
      </c>
      <c r="K28" s="18">
        <v>2.976190476190476E-2</v>
      </c>
      <c r="L28" s="18">
        <v>1.7857142857142856E-2</v>
      </c>
      <c r="M28" s="18">
        <v>1.0416666666666666E-2</v>
      </c>
      <c r="N28" s="18">
        <v>2.5297619047619048E-2</v>
      </c>
      <c r="O28" s="18">
        <v>2.0833333333333332E-2</v>
      </c>
      <c r="P28" s="18">
        <v>2.2321428571428572E-2</v>
      </c>
      <c r="Q28" s="18">
        <v>1.9345238095238096E-2</v>
      </c>
      <c r="R28" s="18">
        <v>2.976190476190476E-2</v>
      </c>
      <c r="S28" s="18">
        <v>2.2321428571428572E-2</v>
      </c>
      <c r="T28" s="18">
        <v>2.3809523809523808E-2</v>
      </c>
      <c r="U28" s="18">
        <v>1.3888888888888888E-2</v>
      </c>
      <c r="V28" s="18">
        <v>2.6785714285714284E-2</v>
      </c>
      <c r="W28" s="18">
        <v>2.9895366218236172E-2</v>
      </c>
      <c r="X28" s="18">
        <v>2.6785714285714284E-2</v>
      </c>
      <c r="Y28" s="18">
        <v>1.636904761904762E-2</v>
      </c>
      <c r="Z28" s="18">
        <v>2.8273809523809524E-2</v>
      </c>
      <c r="AA28" s="18">
        <v>2.2321428571428572E-2</v>
      </c>
      <c r="AB28" s="18">
        <v>2.8273809523809524E-2</v>
      </c>
      <c r="AC28" s="18">
        <v>3.4226190476190479E-2</v>
      </c>
      <c r="AD28" s="18">
        <v>5.6547619047619048E-2</v>
      </c>
      <c r="AE28" s="18">
        <v>6.3988095238095233E-2</v>
      </c>
      <c r="AF28" s="18">
        <v>5.5059523809523808E-2</v>
      </c>
      <c r="AG28" s="18">
        <v>7.5520833333333329E-2</v>
      </c>
      <c r="AH28" s="18">
        <v>5.0595238095238096E-2</v>
      </c>
      <c r="AI28" s="18">
        <v>4.3154761904761904E-2</v>
      </c>
      <c r="AJ28" s="18">
        <v>7.5892857142857137E-2</v>
      </c>
      <c r="AK28" s="43">
        <v>7.4404761904761904E-2</v>
      </c>
      <c r="AL28" s="18">
        <v>4.6130952380952384E-2</v>
      </c>
      <c r="AM28" s="18">
        <v>5.9523809523809521E-2</v>
      </c>
      <c r="AN28" s="18">
        <v>3.7202380952380952E-2</v>
      </c>
      <c r="AO28" s="18">
        <v>6.6964285714285712E-2</v>
      </c>
      <c r="AP28" s="19">
        <v>5.0595238095238096E-2</v>
      </c>
      <c r="AQ28" s="19">
        <v>4.1666666666666664E-2</v>
      </c>
      <c r="AR28" s="19">
        <v>4.4642857142857144E-2</v>
      </c>
      <c r="AS28" s="19">
        <v>5.0595238095238096E-2</v>
      </c>
      <c r="AT28" s="19">
        <v>4.4642857142857144E-2</v>
      </c>
      <c r="AU28" s="19">
        <v>4.3154761904761904E-2</v>
      </c>
      <c r="AV28" s="19">
        <v>3.7202380952380952E-2</v>
      </c>
      <c r="AW28" s="19">
        <v>3.4226190476190479E-2</v>
      </c>
      <c r="AX28" s="28">
        <v>6.3988095238095233E-2</v>
      </c>
      <c r="AY28" s="19">
        <v>8.4821428571428575E-2</v>
      </c>
      <c r="AZ28" s="28">
        <v>7.1428571428571425E-2</v>
      </c>
      <c r="BA28" s="29">
        <v>8.9583333333333334E-2</v>
      </c>
      <c r="BB28" s="2"/>
    </row>
    <row r="29" spans="1:54" ht="15">
      <c r="A29" s="27" t="s">
        <v>70</v>
      </c>
      <c r="B29" s="44"/>
      <c r="C29" s="44"/>
      <c r="D29" s="44"/>
      <c r="E29" s="17">
        <f t="shared" ref="E29:Y29" si="0">SUM(E15:E28)</f>
        <v>1.0000000000000002</v>
      </c>
      <c r="F29" s="17">
        <f t="shared" si="0"/>
        <v>1</v>
      </c>
      <c r="G29" s="17">
        <f t="shared" si="0"/>
        <v>1</v>
      </c>
      <c r="H29" s="17">
        <f t="shared" si="0"/>
        <v>1</v>
      </c>
      <c r="I29" s="17">
        <f t="shared" si="0"/>
        <v>0.99999999999999989</v>
      </c>
      <c r="J29" s="17">
        <f t="shared" si="0"/>
        <v>1</v>
      </c>
      <c r="K29" s="17">
        <f t="shared" si="0"/>
        <v>1</v>
      </c>
      <c r="L29" s="17">
        <f t="shared" si="0"/>
        <v>1.0000000000000002</v>
      </c>
      <c r="M29" s="17">
        <f t="shared" si="0"/>
        <v>1</v>
      </c>
      <c r="N29" s="17">
        <f t="shared" si="0"/>
        <v>1</v>
      </c>
      <c r="O29" s="17">
        <f t="shared" si="0"/>
        <v>1.0000000000000002</v>
      </c>
      <c r="P29" s="17">
        <f t="shared" si="0"/>
        <v>1</v>
      </c>
      <c r="Q29" s="17">
        <f t="shared" si="0"/>
        <v>0.99999999999999989</v>
      </c>
      <c r="R29" s="17">
        <f t="shared" si="0"/>
        <v>1</v>
      </c>
      <c r="S29" s="17">
        <f t="shared" si="0"/>
        <v>1</v>
      </c>
      <c r="T29" s="17">
        <f t="shared" si="0"/>
        <v>1</v>
      </c>
      <c r="U29" s="17">
        <f t="shared" si="0"/>
        <v>0.99999999999999989</v>
      </c>
      <c r="V29" s="17">
        <f t="shared" si="0"/>
        <v>0.99999999999999989</v>
      </c>
      <c r="W29" s="17">
        <f t="shared" si="0"/>
        <v>1</v>
      </c>
      <c r="X29" s="17">
        <f t="shared" si="0"/>
        <v>1</v>
      </c>
      <c r="Y29" s="17">
        <f t="shared" si="0"/>
        <v>1</v>
      </c>
      <c r="Z29" s="17">
        <f>SUM(Z6:Z28)</f>
        <v>1</v>
      </c>
      <c r="AA29" s="17">
        <f>SUM(AA15:AA28)</f>
        <v>1</v>
      </c>
      <c r="AB29" s="17">
        <f>SUM(AB15:AB28)</f>
        <v>1</v>
      </c>
      <c r="AC29" s="17">
        <f t="shared" ref="AC29:AJ29" si="1">SUM(AC15:AC28)</f>
        <v>1.0000000000000002</v>
      </c>
      <c r="AD29" s="17">
        <f t="shared" si="1"/>
        <v>1</v>
      </c>
      <c r="AE29" s="17">
        <f t="shared" si="1"/>
        <v>1.0000000000000002</v>
      </c>
      <c r="AF29" s="17">
        <f t="shared" si="1"/>
        <v>1</v>
      </c>
      <c r="AG29" s="17">
        <f t="shared" si="1"/>
        <v>1</v>
      </c>
      <c r="AH29" s="17">
        <f t="shared" si="1"/>
        <v>1</v>
      </c>
      <c r="AI29" s="18">
        <f t="shared" si="1"/>
        <v>0.99999999999999989</v>
      </c>
      <c r="AJ29" s="45">
        <f t="shared" si="1"/>
        <v>1.0000000000000002</v>
      </c>
      <c r="AK29" s="18">
        <f t="shared" ref="AK29:AQ29" si="2">SUM(AK15:AK28)</f>
        <v>1</v>
      </c>
      <c r="AL29" s="18">
        <f t="shared" si="2"/>
        <v>1</v>
      </c>
      <c r="AM29" s="18">
        <f t="shared" si="2"/>
        <v>1</v>
      </c>
      <c r="AN29" s="18">
        <f t="shared" si="2"/>
        <v>0.99999999999999989</v>
      </c>
      <c r="AO29" s="18">
        <f t="shared" si="2"/>
        <v>1</v>
      </c>
      <c r="AP29" s="19">
        <f t="shared" si="2"/>
        <v>0.99999999999999989</v>
      </c>
      <c r="AQ29" s="19">
        <f t="shared" si="2"/>
        <v>0.99999999999999978</v>
      </c>
      <c r="AR29" s="19">
        <v>0.99999999999999989</v>
      </c>
      <c r="AS29" s="19">
        <f>SUM(AS15:AS28)</f>
        <v>0.99999999999999989</v>
      </c>
      <c r="AT29" s="19">
        <v>1</v>
      </c>
      <c r="AU29" s="19">
        <v>1</v>
      </c>
      <c r="AV29" s="19">
        <f t="shared" ref="AV29:AW29" si="3">SUM(AV15:AV28)</f>
        <v>0.99999999999999989</v>
      </c>
      <c r="AW29" s="19">
        <f t="shared" si="3"/>
        <v>1.0000000000000002</v>
      </c>
      <c r="AX29" s="28">
        <f t="shared" ref="AX29:AZ29" si="4">SUM(AX15:AX28)</f>
        <v>1</v>
      </c>
      <c r="AY29" s="19">
        <f t="shared" si="4"/>
        <v>1</v>
      </c>
      <c r="AZ29" s="28">
        <f t="shared" si="4"/>
        <v>1</v>
      </c>
      <c r="BA29" s="29">
        <f>SUM(BA15:BA28)</f>
        <v>1</v>
      </c>
      <c r="BB29" s="2"/>
    </row>
    <row r="30" spans="1:54" ht="33.75">
      <c r="A30" s="46" t="s">
        <v>71</v>
      </c>
      <c r="B30" s="47" t="s">
        <v>72</v>
      </c>
      <c r="C30" s="47" t="s">
        <v>72</v>
      </c>
      <c r="D30" s="47" t="s">
        <v>72</v>
      </c>
      <c r="E30" s="47" t="s">
        <v>72</v>
      </c>
      <c r="F30" s="83" t="s">
        <v>73</v>
      </c>
      <c r="G30" s="71"/>
      <c r="H30" s="44" t="s">
        <v>72</v>
      </c>
      <c r="I30" s="84" t="s">
        <v>74</v>
      </c>
      <c r="J30" s="71"/>
      <c r="K30" s="71"/>
      <c r="L30" s="44" t="s">
        <v>72</v>
      </c>
      <c r="M30" s="84" t="s">
        <v>75</v>
      </c>
      <c r="N30" s="71"/>
      <c r="O30" s="71"/>
      <c r="P30" s="71"/>
      <c r="Q30" s="71"/>
      <c r="R30" s="84" t="s">
        <v>76</v>
      </c>
      <c r="S30" s="71"/>
      <c r="T30" s="72"/>
      <c r="U30" s="48" t="s">
        <v>72</v>
      </c>
      <c r="V30" s="84">
        <v>1984</v>
      </c>
      <c r="W30" s="72"/>
      <c r="X30" s="48" t="s">
        <v>72</v>
      </c>
      <c r="Y30" s="84" t="s">
        <v>77</v>
      </c>
      <c r="Z30" s="71"/>
      <c r="AA30" s="71"/>
      <c r="AB30" s="71"/>
      <c r="AC30" s="71"/>
      <c r="AD30" s="72"/>
      <c r="AE30" s="89" t="s">
        <v>78</v>
      </c>
      <c r="AF30" s="71"/>
      <c r="AG30" s="47" t="s">
        <v>72</v>
      </c>
      <c r="AH30" s="83" t="s">
        <v>79</v>
      </c>
      <c r="AI30" s="71"/>
      <c r="AJ30" s="72"/>
      <c r="AK30" s="49" t="s">
        <v>72</v>
      </c>
      <c r="AL30" s="83" t="s">
        <v>80</v>
      </c>
      <c r="AM30" s="72"/>
      <c r="AN30" s="83" t="s">
        <v>81</v>
      </c>
      <c r="AO30" s="72"/>
      <c r="AP30" s="50" t="s">
        <v>82</v>
      </c>
      <c r="AQ30" s="49" t="s">
        <v>83</v>
      </c>
      <c r="AR30" s="49" t="s">
        <v>84</v>
      </c>
      <c r="AS30" s="83" t="s">
        <v>85</v>
      </c>
      <c r="AT30" s="72"/>
      <c r="AU30" s="49" t="s">
        <v>86</v>
      </c>
      <c r="AV30" s="51" t="s">
        <v>87</v>
      </c>
      <c r="AW30" s="49" t="s">
        <v>88</v>
      </c>
      <c r="AX30" s="52" t="s">
        <v>89</v>
      </c>
      <c r="AY30" s="83" t="s">
        <v>90</v>
      </c>
      <c r="AZ30" s="72"/>
      <c r="BA30" s="53" t="s">
        <v>91</v>
      </c>
      <c r="BB30" s="2"/>
    </row>
    <row r="31" spans="1:54" ht="15">
      <c r="A31" s="54" t="s">
        <v>92</v>
      </c>
      <c r="B31" s="55">
        <v>255</v>
      </c>
      <c r="C31" s="55">
        <v>-440</v>
      </c>
      <c r="D31" s="55">
        <v>-14730</v>
      </c>
      <c r="E31" s="55">
        <v>-2400</v>
      </c>
      <c r="F31" s="55">
        <v>19577</v>
      </c>
      <c r="G31" s="55">
        <v>5015</v>
      </c>
      <c r="H31" s="55">
        <v>-9260</v>
      </c>
      <c r="I31" s="55">
        <v>-304</v>
      </c>
      <c r="J31" s="55">
        <v>-548</v>
      </c>
      <c r="K31" s="55">
        <v>-1621</v>
      </c>
      <c r="L31" s="55">
        <v>-480</v>
      </c>
      <c r="M31" s="55">
        <v>-7271</v>
      </c>
      <c r="N31" s="55">
        <v>8050</v>
      </c>
      <c r="O31" s="55">
        <v>2755</v>
      </c>
      <c r="P31" s="55">
        <v>-2750</v>
      </c>
      <c r="Q31" s="55">
        <v>-7650</v>
      </c>
      <c r="R31" s="55">
        <v>7536</v>
      </c>
      <c r="S31" s="55">
        <v>-3810</v>
      </c>
      <c r="T31" s="55">
        <v>7200</v>
      </c>
      <c r="U31" s="55">
        <f>705</f>
        <v>705</v>
      </c>
      <c r="V31" s="55">
        <f>-60</f>
        <v>-60</v>
      </c>
      <c r="W31" s="55">
        <v>-430</v>
      </c>
      <c r="X31" s="55">
        <v>530</v>
      </c>
      <c r="Y31" s="55">
        <v>-1135</v>
      </c>
      <c r="Z31" s="55">
        <v>-185</v>
      </c>
      <c r="AA31" s="55">
        <v>-18115</v>
      </c>
      <c r="AB31" s="55">
        <v>19545</v>
      </c>
      <c r="AC31" s="55">
        <v>110</v>
      </c>
      <c r="AD31" s="55">
        <v>-694</v>
      </c>
      <c r="AE31" s="55">
        <v>266</v>
      </c>
      <c r="AF31" s="55">
        <v>-428</v>
      </c>
      <c r="AG31" s="55">
        <f>-1500+610</f>
        <v>-890</v>
      </c>
      <c r="AH31" s="55">
        <v>485</v>
      </c>
      <c r="AI31" s="55">
        <v>675</v>
      </c>
      <c r="AJ31" s="55">
        <v>225</v>
      </c>
      <c r="AK31" s="56">
        <v>-695</v>
      </c>
      <c r="AL31" s="56">
        <v>-205</v>
      </c>
      <c r="AM31" s="56">
        <f>60</f>
        <v>60</v>
      </c>
      <c r="AN31" s="56">
        <v>-310</v>
      </c>
      <c r="AO31" s="56">
        <v>-7310</v>
      </c>
      <c r="AP31" s="57">
        <v>8095</v>
      </c>
      <c r="AQ31" s="57">
        <v>1300</v>
      </c>
      <c r="AR31" s="57">
        <f>-65</f>
        <v>-65</v>
      </c>
      <c r="AS31" s="57">
        <v>-250</v>
      </c>
      <c r="AT31" s="57">
        <v>265</v>
      </c>
      <c r="AU31" s="57">
        <v>190</v>
      </c>
      <c r="AV31" s="57">
        <v>355</v>
      </c>
      <c r="AW31" s="57">
        <f>50</f>
        <v>50</v>
      </c>
      <c r="AX31" s="58">
        <v>415</v>
      </c>
      <c r="AY31" s="57">
        <v>606</v>
      </c>
      <c r="AZ31" s="57">
        <v>497</v>
      </c>
      <c r="BA31" s="59">
        <v>725</v>
      </c>
      <c r="BB31" s="2"/>
    </row>
    <row r="32" spans="1:54" ht="12.75">
      <c r="A32" s="6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1" ht="12.75">
      <c r="A33" s="60"/>
    </row>
    <row r="34" spans="1:1" ht="12.75">
      <c r="A34" s="60"/>
    </row>
    <row r="35" spans="1:1" ht="12.75">
      <c r="A35" s="60"/>
    </row>
    <row r="36" spans="1:1" ht="12.75">
      <c r="A36" s="61"/>
    </row>
    <row r="37" spans="1:1" ht="12.75">
      <c r="A37" s="1"/>
    </row>
    <row r="38" spans="1:1" ht="12.75">
      <c r="A38" s="60"/>
    </row>
    <row r="39" spans="1:1" ht="12.75">
      <c r="A39" s="60"/>
    </row>
    <row r="40" spans="1:1" ht="12.75">
      <c r="A40" s="60"/>
    </row>
    <row r="41" spans="1:1" ht="12.75">
      <c r="A41" s="60"/>
    </row>
    <row r="42" spans="1:1" ht="12.75">
      <c r="A42" s="60"/>
    </row>
    <row r="43" spans="1:1" ht="12.75">
      <c r="A43" s="60"/>
    </row>
    <row r="44" spans="1:1" ht="12.75">
      <c r="A44" s="60"/>
    </row>
    <row r="45" spans="1:1" ht="12.75">
      <c r="A45" s="60"/>
    </row>
    <row r="46" spans="1:1" ht="12.75">
      <c r="A46" s="60"/>
    </row>
    <row r="47" spans="1:1" ht="12.75">
      <c r="A47" s="60"/>
    </row>
    <row r="48" spans="1:1" ht="12.75">
      <c r="A48" s="60"/>
    </row>
    <row r="49" spans="1:1" ht="12.75">
      <c r="A49" s="60"/>
    </row>
    <row r="50" spans="1:1" ht="12.75">
      <c r="A50" s="60"/>
    </row>
    <row r="51" spans="1:1" ht="12.75">
      <c r="A51" s="60"/>
    </row>
    <row r="52" spans="1:1" ht="12.75">
      <c r="A52" s="60"/>
    </row>
    <row r="53" spans="1:1" ht="12.75">
      <c r="A53" s="60"/>
    </row>
    <row r="54" spans="1:1" ht="12.75">
      <c r="A54" s="60"/>
    </row>
    <row r="55" spans="1:1" ht="12.75">
      <c r="A55" s="60"/>
    </row>
    <row r="56" spans="1:1" ht="12.75">
      <c r="A56" s="60"/>
    </row>
    <row r="57" spans="1:1" ht="12.75">
      <c r="A57" s="60"/>
    </row>
    <row r="58" spans="1:1" ht="12.75">
      <c r="A58" s="60"/>
    </row>
    <row r="59" spans="1:1" ht="12.75">
      <c r="A59" s="60"/>
    </row>
    <row r="60" spans="1:1" ht="12.75">
      <c r="A60" s="60"/>
    </row>
    <row r="61" spans="1:1" ht="12.75">
      <c r="A61" s="60"/>
    </row>
    <row r="62" spans="1:1" ht="12.75">
      <c r="A62" s="60"/>
    </row>
    <row r="63" spans="1:1" ht="12.75">
      <c r="A63" s="60"/>
    </row>
    <row r="64" spans="1:1" ht="12.75">
      <c r="A64" s="60"/>
    </row>
    <row r="65" spans="1:1" ht="12.75">
      <c r="A65" s="60"/>
    </row>
    <row r="66" spans="1:1" ht="12.75">
      <c r="A66" s="60"/>
    </row>
    <row r="67" spans="1:1" ht="12.75">
      <c r="A67" s="60"/>
    </row>
    <row r="68" spans="1:1" ht="12.75">
      <c r="A68" s="60"/>
    </row>
    <row r="69" spans="1:1" ht="12.75">
      <c r="A69" s="60"/>
    </row>
    <row r="70" spans="1:1" ht="12.75">
      <c r="A70" s="60"/>
    </row>
    <row r="71" spans="1:1" ht="12.75">
      <c r="A71" s="60"/>
    </row>
    <row r="72" spans="1:1" ht="12.75">
      <c r="A72" s="60"/>
    </row>
    <row r="73" spans="1:1" ht="12.75">
      <c r="A73" s="60"/>
    </row>
    <row r="74" spans="1:1" ht="12.75">
      <c r="A74" s="60"/>
    </row>
    <row r="75" spans="1:1" ht="12.75">
      <c r="A75" s="60"/>
    </row>
    <row r="76" spans="1:1" ht="12.75">
      <c r="A76" s="60"/>
    </row>
    <row r="77" spans="1:1" ht="12.75">
      <c r="A77" s="60"/>
    </row>
    <row r="78" spans="1:1" ht="12.75">
      <c r="A78" s="60"/>
    </row>
    <row r="79" spans="1:1" ht="12.75">
      <c r="A79" s="60"/>
    </row>
    <row r="80" spans="1:1" ht="12.75">
      <c r="A80" s="60"/>
    </row>
    <row r="81" spans="1:1" ht="12.75">
      <c r="A81" s="60"/>
    </row>
    <row r="82" spans="1:1" ht="12.75">
      <c r="A82" s="60"/>
    </row>
    <row r="83" spans="1:1" ht="12.75">
      <c r="A83" s="60"/>
    </row>
    <row r="84" spans="1:1" ht="12.75">
      <c r="A84" s="60"/>
    </row>
    <row r="85" spans="1:1" ht="12.75">
      <c r="A85" s="60"/>
    </row>
    <row r="86" spans="1:1" ht="12.75">
      <c r="A86" s="60"/>
    </row>
    <row r="87" spans="1:1" ht="12.75">
      <c r="A87" s="60"/>
    </row>
    <row r="88" spans="1:1" ht="12.75">
      <c r="A88" s="60"/>
    </row>
    <row r="89" spans="1:1" ht="12.75">
      <c r="A89" s="60"/>
    </row>
    <row r="90" spans="1:1" ht="12.75">
      <c r="A90" s="60"/>
    </row>
    <row r="91" spans="1:1" ht="12.75">
      <c r="A91" s="60"/>
    </row>
    <row r="92" spans="1:1" ht="12.75">
      <c r="A92" s="60"/>
    </row>
    <row r="93" spans="1:1" ht="12.75">
      <c r="A93" s="60"/>
    </row>
    <row r="94" spans="1:1" ht="12.75">
      <c r="A94" s="60"/>
    </row>
    <row r="95" spans="1:1" ht="12.75">
      <c r="A95" s="60"/>
    </row>
    <row r="96" spans="1:1" ht="12.75">
      <c r="A96" s="60"/>
    </row>
    <row r="97" spans="1:1" ht="12.75">
      <c r="A97" s="60"/>
    </row>
    <row r="98" spans="1:1" ht="12.75">
      <c r="A98" s="60"/>
    </row>
    <row r="99" spans="1:1" ht="12.75">
      <c r="A99" s="60"/>
    </row>
    <row r="100" spans="1:1" ht="12.75">
      <c r="A100" s="60"/>
    </row>
    <row r="101" spans="1:1" ht="12.75">
      <c r="A101" s="60"/>
    </row>
    <row r="102" spans="1:1" ht="12.75">
      <c r="A102" s="60"/>
    </row>
    <row r="103" spans="1:1" ht="12.75">
      <c r="A103" s="60"/>
    </row>
    <row r="104" spans="1:1" ht="12.75">
      <c r="A104" s="60"/>
    </row>
    <row r="105" spans="1:1" ht="12.75">
      <c r="A105" s="60"/>
    </row>
    <row r="106" spans="1:1" ht="12.75">
      <c r="A106" s="60"/>
    </row>
    <row r="107" spans="1:1" ht="12.75">
      <c r="A107" s="60"/>
    </row>
    <row r="108" spans="1:1" ht="12.75">
      <c r="A108" s="60"/>
    </row>
    <row r="109" spans="1:1" ht="12.75">
      <c r="A109" s="60"/>
    </row>
    <row r="110" spans="1:1" ht="12.75">
      <c r="A110" s="60"/>
    </row>
    <row r="111" spans="1:1" ht="12.75">
      <c r="A111" s="60"/>
    </row>
    <row r="112" spans="1:1" ht="12.75">
      <c r="A112" s="60"/>
    </row>
    <row r="113" spans="1:1" ht="12.75">
      <c r="A113" s="60"/>
    </row>
    <row r="114" spans="1:1" ht="12.75">
      <c r="A114" s="60"/>
    </row>
    <row r="115" spans="1:1" ht="12.75">
      <c r="A115" s="60"/>
    </row>
    <row r="116" spans="1:1" ht="12.75">
      <c r="A116" s="60"/>
    </row>
    <row r="117" spans="1:1" ht="12.75">
      <c r="A117" s="60"/>
    </row>
    <row r="118" spans="1:1" ht="12.75">
      <c r="A118" s="60"/>
    </row>
    <row r="119" spans="1:1" ht="12.75">
      <c r="A119" s="60"/>
    </row>
    <row r="120" spans="1:1" ht="12.75">
      <c r="A120" s="60"/>
    </row>
    <row r="121" spans="1:1" ht="12.75">
      <c r="A121" s="60"/>
    </row>
    <row r="122" spans="1:1" ht="12.75">
      <c r="A122" s="60"/>
    </row>
    <row r="123" spans="1:1" ht="12.75">
      <c r="A123" s="60"/>
    </row>
    <row r="124" spans="1:1" ht="12.75">
      <c r="A124" s="60"/>
    </row>
    <row r="125" spans="1:1" ht="12.75">
      <c r="A125" s="60"/>
    </row>
    <row r="126" spans="1:1" ht="12.75">
      <c r="A126" s="60"/>
    </row>
    <row r="127" spans="1:1" ht="12.75">
      <c r="A127" s="60"/>
    </row>
    <row r="128" spans="1:1" ht="12.75">
      <c r="A128" s="60"/>
    </row>
    <row r="129" spans="1:1" ht="12.75">
      <c r="A129" s="60"/>
    </row>
    <row r="130" spans="1:1" ht="12.75">
      <c r="A130" s="60"/>
    </row>
    <row r="131" spans="1:1" ht="12.75">
      <c r="A131" s="60"/>
    </row>
    <row r="132" spans="1:1" ht="12.75">
      <c r="A132" s="60"/>
    </row>
    <row r="133" spans="1:1" ht="12.75">
      <c r="A133" s="60"/>
    </row>
    <row r="134" spans="1:1" ht="12.75">
      <c r="A134" s="60"/>
    </row>
    <row r="135" spans="1:1" ht="12.75">
      <c r="A135" s="60"/>
    </row>
    <row r="136" spans="1:1" ht="12.75">
      <c r="A136" s="60"/>
    </row>
    <row r="137" spans="1:1" ht="12.75">
      <c r="A137" s="60"/>
    </row>
    <row r="138" spans="1:1" ht="12.75">
      <c r="A138" s="60"/>
    </row>
    <row r="139" spans="1:1" ht="12.75">
      <c r="A139" s="60"/>
    </row>
    <row r="140" spans="1:1" ht="12.75">
      <c r="A140" s="60"/>
    </row>
    <row r="141" spans="1:1" ht="12.75">
      <c r="A141" s="60"/>
    </row>
    <row r="142" spans="1:1" ht="12.75">
      <c r="A142" s="60"/>
    </row>
    <row r="143" spans="1:1" ht="12.75">
      <c r="A143" s="60"/>
    </row>
    <row r="144" spans="1:1" ht="12.75">
      <c r="A144" s="60"/>
    </row>
    <row r="145" spans="1:1" ht="12.75">
      <c r="A145" s="60"/>
    </row>
    <row r="146" spans="1:1" ht="12.75">
      <c r="A146" s="60"/>
    </row>
    <row r="147" spans="1:1" ht="12.75">
      <c r="A147" s="60"/>
    </row>
    <row r="148" spans="1:1" ht="12.75">
      <c r="A148" s="60"/>
    </row>
    <row r="149" spans="1:1" ht="12.75">
      <c r="A149" s="60"/>
    </row>
    <row r="150" spans="1:1" ht="12.75">
      <c r="A150" s="60"/>
    </row>
    <row r="151" spans="1:1" ht="12.75">
      <c r="A151" s="60"/>
    </row>
    <row r="152" spans="1:1" ht="12.75">
      <c r="A152" s="60"/>
    </row>
    <row r="153" spans="1:1" ht="12.75">
      <c r="A153" s="60"/>
    </row>
    <row r="154" spans="1:1" ht="12.75">
      <c r="A154" s="60"/>
    </row>
    <row r="155" spans="1:1" ht="12.75">
      <c r="A155" s="60"/>
    </row>
    <row r="156" spans="1:1" ht="12.75">
      <c r="A156" s="60"/>
    </row>
    <row r="157" spans="1:1" ht="12.75">
      <c r="A157" s="60"/>
    </row>
    <row r="158" spans="1:1" ht="12.75">
      <c r="A158" s="60"/>
    </row>
    <row r="159" spans="1:1" ht="12.75">
      <c r="A159" s="60"/>
    </row>
    <row r="160" spans="1:1" ht="12.75">
      <c r="A160" s="60"/>
    </row>
    <row r="161" spans="1:1" ht="12.75">
      <c r="A161" s="60"/>
    </row>
    <row r="162" spans="1:1" ht="12.75">
      <c r="A162" s="60"/>
    </row>
    <row r="163" spans="1:1" ht="12.75">
      <c r="A163" s="60"/>
    </row>
    <row r="164" spans="1:1" ht="12.75">
      <c r="A164" s="60"/>
    </row>
    <row r="165" spans="1:1" ht="12.75">
      <c r="A165" s="60"/>
    </row>
    <row r="166" spans="1:1" ht="12.75">
      <c r="A166" s="60"/>
    </row>
    <row r="167" spans="1:1" ht="12.75">
      <c r="A167" s="60"/>
    </row>
    <row r="168" spans="1:1" ht="12.75">
      <c r="A168" s="60"/>
    </row>
    <row r="169" spans="1:1" ht="12.75">
      <c r="A169" s="60"/>
    </row>
    <row r="170" spans="1:1" ht="12.75">
      <c r="A170" s="60"/>
    </row>
    <row r="171" spans="1:1" ht="12.75">
      <c r="A171" s="60"/>
    </row>
    <row r="172" spans="1:1" ht="12.75">
      <c r="A172" s="60"/>
    </row>
    <row r="173" spans="1:1" ht="12.75">
      <c r="A173" s="60"/>
    </row>
    <row r="174" spans="1:1" ht="12.75">
      <c r="A174" s="60"/>
    </row>
    <row r="175" spans="1:1" ht="12.75">
      <c r="A175" s="60"/>
    </row>
    <row r="176" spans="1:1" ht="12.75">
      <c r="A176" s="60"/>
    </row>
    <row r="177" spans="1:1" ht="12.75">
      <c r="A177" s="60"/>
    </row>
    <row r="178" spans="1:1" ht="12.75">
      <c r="A178" s="60"/>
    </row>
    <row r="179" spans="1:1" ht="12.75">
      <c r="A179" s="60"/>
    </row>
    <row r="180" spans="1:1" ht="12.75">
      <c r="A180" s="60"/>
    </row>
    <row r="181" spans="1:1" ht="12.75">
      <c r="A181" s="60"/>
    </row>
    <row r="182" spans="1:1" ht="12.75">
      <c r="A182" s="60"/>
    </row>
    <row r="183" spans="1:1" ht="12.75">
      <c r="A183" s="60"/>
    </row>
    <row r="184" spans="1:1" ht="12.75">
      <c r="A184" s="60"/>
    </row>
    <row r="185" spans="1:1" ht="12.75">
      <c r="A185" s="60"/>
    </row>
    <row r="186" spans="1:1" ht="12.75">
      <c r="A186" s="60"/>
    </row>
    <row r="187" spans="1:1" ht="12.75">
      <c r="A187" s="60"/>
    </row>
    <row r="188" spans="1:1" ht="12.75">
      <c r="A188" s="60"/>
    </row>
    <row r="189" spans="1:1" ht="12.75">
      <c r="A189" s="60"/>
    </row>
    <row r="190" spans="1:1" ht="12.75">
      <c r="A190" s="60"/>
    </row>
    <row r="191" spans="1:1" ht="12.75">
      <c r="A191" s="60"/>
    </row>
    <row r="192" spans="1:1" ht="12.75">
      <c r="A192" s="60"/>
    </row>
    <row r="193" spans="1:1" ht="12.75">
      <c r="A193" s="60"/>
    </row>
    <row r="194" spans="1:1" ht="12.75">
      <c r="A194" s="60"/>
    </row>
    <row r="195" spans="1:1" ht="12.75">
      <c r="A195" s="60"/>
    </row>
    <row r="196" spans="1:1" ht="12.75">
      <c r="A196" s="60"/>
    </row>
    <row r="197" spans="1:1" ht="12.75">
      <c r="A197" s="60"/>
    </row>
    <row r="198" spans="1:1" ht="12.75">
      <c r="A198" s="60"/>
    </row>
    <row r="199" spans="1:1" ht="12.75">
      <c r="A199" s="60"/>
    </row>
    <row r="200" spans="1:1" ht="12.75">
      <c r="A200" s="60"/>
    </row>
    <row r="201" spans="1:1" ht="12.75">
      <c r="A201" s="60"/>
    </row>
    <row r="202" spans="1:1" ht="12.75">
      <c r="A202" s="60"/>
    </row>
    <row r="203" spans="1:1" ht="12.75">
      <c r="A203" s="60"/>
    </row>
    <row r="204" spans="1:1" ht="12.75">
      <c r="A204" s="60"/>
    </row>
    <row r="205" spans="1:1" ht="12.75">
      <c r="A205" s="60"/>
    </row>
    <row r="206" spans="1:1" ht="12.75">
      <c r="A206" s="60"/>
    </row>
    <row r="207" spans="1:1" ht="12.75">
      <c r="A207" s="60"/>
    </row>
    <row r="208" spans="1:1" ht="12.75">
      <c r="A208" s="60"/>
    </row>
    <row r="209" spans="1:1" ht="12.75">
      <c r="A209" s="60"/>
    </row>
    <row r="210" spans="1:1" ht="12.75">
      <c r="A210" s="60"/>
    </row>
    <row r="211" spans="1:1" ht="12.75">
      <c r="A211" s="60"/>
    </row>
    <row r="212" spans="1:1" ht="12.75">
      <c r="A212" s="60"/>
    </row>
    <row r="213" spans="1:1" ht="12.75">
      <c r="A213" s="60"/>
    </row>
    <row r="214" spans="1:1" ht="12.75">
      <c r="A214" s="60"/>
    </row>
    <row r="215" spans="1:1" ht="12.75">
      <c r="A215" s="60"/>
    </row>
    <row r="216" spans="1:1" ht="12.75">
      <c r="A216" s="60"/>
    </row>
    <row r="217" spans="1:1" ht="12.75">
      <c r="A217" s="60"/>
    </row>
    <row r="218" spans="1:1" ht="12.75">
      <c r="A218" s="60"/>
    </row>
    <row r="219" spans="1:1" ht="12.75">
      <c r="A219" s="60"/>
    </row>
    <row r="220" spans="1:1" ht="12.75">
      <c r="A220" s="60"/>
    </row>
    <row r="221" spans="1:1" ht="12.75">
      <c r="A221" s="60"/>
    </row>
    <row r="222" spans="1:1" ht="12.75">
      <c r="A222" s="60"/>
    </row>
    <row r="223" spans="1:1" ht="12.75">
      <c r="A223" s="60"/>
    </row>
    <row r="224" spans="1:1" ht="12.75">
      <c r="A224" s="60"/>
    </row>
    <row r="225" spans="1:1" ht="12.75">
      <c r="A225" s="60"/>
    </row>
    <row r="226" spans="1:1" ht="12.75">
      <c r="A226" s="60"/>
    </row>
    <row r="227" spans="1:1" ht="12.75">
      <c r="A227" s="60"/>
    </row>
    <row r="228" spans="1:1" ht="12.75">
      <c r="A228" s="60"/>
    </row>
    <row r="229" spans="1:1" ht="12.75">
      <c r="A229" s="60"/>
    </row>
    <row r="230" spans="1:1" ht="12.75">
      <c r="A230" s="60"/>
    </row>
    <row r="231" spans="1:1" ht="12.75">
      <c r="A231" s="60"/>
    </row>
    <row r="232" spans="1:1" ht="12.75">
      <c r="A232" s="60"/>
    </row>
    <row r="233" spans="1:1" ht="12.75">
      <c r="A233" s="60"/>
    </row>
    <row r="234" spans="1:1" ht="12.75">
      <c r="A234" s="60"/>
    </row>
    <row r="235" spans="1:1" ht="12.75">
      <c r="A235" s="60"/>
    </row>
    <row r="236" spans="1:1" ht="12.75">
      <c r="A236" s="60"/>
    </row>
    <row r="237" spans="1:1" ht="12.75">
      <c r="A237" s="60"/>
    </row>
    <row r="238" spans="1:1" ht="12.75">
      <c r="A238" s="60"/>
    </row>
    <row r="239" spans="1:1" ht="12.75">
      <c r="A239" s="60"/>
    </row>
    <row r="240" spans="1:1" ht="12.75">
      <c r="A240" s="60"/>
    </row>
    <row r="241" spans="1:1" ht="12.75">
      <c r="A241" s="60"/>
    </row>
    <row r="242" spans="1:1" ht="12.75">
      <c r="A242" s="60"/>
    </row>
    <row r="243" spans="1:1" ht="12.75">
      <c r="A243" s="60"/>
    </row>
    <row r="244" spans="1:1" ht="12.75">
      <c r="A244" s="60"/>
    </row>
    <row r="245" spans="1:1" ht="12.75">
      <c r="A245" s="60"/>
    </row>
    <row r="246" spans="1:1" ht="12.75">
      <c r="A246" s="60"/>
    </row>
    <row r="247" spans="1:1" ht="12.75">
      <c r="A247" s="60"/>
    </row>
    <row r="248" spans="1:1" ht="12.75">
      <c r="A248" s="60"/>
    </row>
    <row r="249" spans="1:1" ht="12.75">
      <c r="A249" s="60"/>
    </row>
    <row r="250" spans="1:1" ht="12.75">
      <c r="A250" s="60"/>
    </row>
    <row r="251" spans="1:1" ht="12.75">
      <c r="A251" s="60"/>
    </row>
    <row r="252" spans="1:1" ht="12.75">
      <c r="A252" s="60"/>
    </row>
    <row r="253" spans="1:1" ht="12.75">
      <c r="A253" s="60"/>
    </row>
    <row r="254" spans="1:1" ht="12.75">
      <c r="A254" s="60"/>
    </row>
    <row r="255" spans="1:1" ht="12.75">
      <c r="A255" s="60"/>
    </row>
    <row r="256" spans="1:1" ht="12.75">
      <c r="A256" s="60"/>
    </row>
    <row r="257" spans="1:1" ht="12.75">
      <c r="A257" s="60"/>
    </row>
    <row r="258" spans="1:1" ht="12.75">
      <c r="A258" s="60"/>
    </row>
    <row r="259" spans="1:1" ht="12.75">
      <c r="A259" s="60"/>
    </row>
    <row r="260" spans="1:1" ht="12.75">
      <c r="A260" s="60"/>
    </row>
    <row r="261" spans="1:1" ht="12.75">
      <c r="A261" s="60"/>
    </row>
    <row r="262" spans="1:1" ht="12.75">
      <c r="A262" s="60"/>
    </row>
    <row r="263" spans="1:1" ht="12.75">
      <c r="A263" s="60"/>
    </row>
    <row r="264" spans="1:1" ht="12.75">
      <c r="A264" s="60"/>
    </row>
    <row r="265" spans="1:1" ht="12.75">
      <c r="A265" s="60"/>
    </row>
    <row r="266" spans="1:1" ht="12.75">
      <c r="A266" s="60"/>
    </row>
    <row r="267" spans="1:1" ht="12.75">
      <c r="A267" s="60"/>
    </row>
    <row r="268" spans="1:1" ht="12.75">
      <c r="A268" s="60"/>
    </row>
    <row r="269" spans="1:1" ht="12.75">
      <c r="A269" s="60"/>
    </row>
    <row r="270" spans="1:1" ht="12.75">
      <c r="A270" s="60"/>
    </row>
    <row r="271" spans="1:1" ht="12.75">
      <c r="A271" s="60"/>
    </row>
    <row r="272" spans="1:1" ht="12.75">
      <c r="A272" s="60"/>
    </row>
    <row r="273" spans="1:1" ht="12.75">
      <c r="A273" s="60"/>
    </row>
    <row r="274" spans="1:1" ht="12.75">
      <c r="A274" s="60"/>
    </row>
    <row r="275" spans="1:1" ht="12.75">
      <c r="A275" s="60"/>
    </row>
    <row r="276" spans="1:1" ht="12.75">
      <c r="A276" s="60"/>
    </row>
    <row r="277" spans="1:1" ht="12.75">
      <c r="A277" s="60"/>
    </row>
    <row r="278" spans="1:1" ht="12.75">
      <c r="A278" s="60"/>
    </row>
    <row r="279" spans="1:1" ht="12.75">
      <c r="A279" s="60"/>
    </row>
    <row r="280" spans="1:1" ht="12.75">
      <c r="A280" s="60"/>
    </row>
    <row r="281" spans="1:1" ht="12.75">
      <c r="A281" s="60"/>
    </row>
    <row r="282" spans="1:1" ht="12.75">
      <c r="A282" s="60"/>
    </row>
    <row r="283" spans="1:1" ht="12.75">
      <c r="A283" s="60"/>
    </row>
    <row r="284" spans="1:1" ht="12.75">
      <c r="A284" s="60"/>
    </row>
    <row r="285" spans="1:1" ht="12.75">
      <c r="A285" s="60"/>
    </row>
    <row r="286" spans="1:1" ht="12.75">
      <c r="A286" s="60"/>
    </row>
    <row r="287" spans="1:1" ht="12.75">
      <c r="A287" s="60"/>
    </row>
    <row r="288" spans="1:1" ht="12.75">
      <c r="A288" s="60"/>
    </row>
    <row r="289" spans="1:1" ht="12.75">
      <c r="A289" s="60"/>
    </row>
    <row r="290" spans="1:1" ht="12.75">
      <c r="A290" s="60"/>
    </row>
    <row r="291" spans="1:1" ht="12.75">
      <c r="A291" s="60"/>
    </row>
    <row r="292" spans="1:1" ht="12.75">
      <c r="A292" s="60"/>
    </row>
    <row r="293" spans="1:1" ht="12.75">
      <c r="A293" s="60"/>
    </row>
    <row r="294" spans="1:1" ht="12.75">
      <c r="A294" s="60"/>
    </row>
    <row r="295" spans="1:1" ht="12.75">
      <c r="A295" s="60"/>
    </row>
    <row r="296" spans="1:1" ht="12.75">
      <c r="A296" s="60"/>
    </row>
    <row r="297" spans="1:1" ht="12.75">
      <c r="A297" s="60"/>
    </row>
    <row r="298" spans="1:1" ht="12.75">
      <c r="A298" s="60"/>
    </row>
    <row r="299" spans="1:1" ht="12.75">
      <c r="A299" s="60"/>
    </row>
    <row r="300" spans="1:1" ht="12.75">
      <c r="A300" s="60"/>
    </row>
    <row r="301" spans="1:1" ht="12.75">
      <c r="A301" s="60"/>
    </row>
    <row r="302" spans="1:1" ht="12.75">
      <c r="A302" s="60"/>
    </row>
    <row r="303" spans="1:1" ht="12.75">
      <c r="A303" s="60"/>
    </row>
    <row r="304" spans="1:1" ht="12.75">
      <c r="A304" s="60"/>
    </row>
    <row r="305" spans="1:1" ht="12.75">
      <c r="A305" s="60"/>
    </row>
    <row r="306" spans="1:1" ht="12.75">
      <c r="A306" s="60"/>
    </row>
    <row r="307" spans="1:1" ht="12.75">
      <c r="A307" s="60"/>
    </row>
    <row r="308" spans="1:1" ht="12.75">
      <c r="A308" s="60"/>
    </row>
    <row r="309" spans="1:1" ht="12.75">
      <c r="A309" s="60"/>
    </row>
    <row r="310" spans="1:1" ht="12.75">
      <c r="A310" s="60"/>
    </row>
    <row r="311" spans="1:1" ht="12.75">
      <c r="A311" s="60"/>
    </row>
    <row r="312" spans="1:1" ht="12.75">
      <c r="A312" s="60"/>
    </row>
    <row r="313" spans="1:1" ht="12.75">
      <c r="A313" s="60"/>
    </row>
    <row r="314" spans="1:1" ht="12.75">
      <c r="A314" s="60"/>
    </row>
    <row r="315" spans="1:1" ht="12.75">
      <c r="A315" s="60"/>
    </row>
    <row r="316" spans="1:1" ht="12.75">
      <c r="A316" s="60"/>
    </row>
    <row r="317" spans="1:1" ht="12.75">
      <c r="A317" s="60"/>
    </row>
    <row r="318" spans="1:1" ht="12.75">
      <c r="A318" s="60"/>
    </row>
    <row r="319" spans="1:1" ht="12.75">
      <c r="A319" s="60"/>
    </row>
    <row r="320" spans="1:1" ht="12.75">
      <c r="A320" s="60"/>
    </row>
    <row r="321" spans="1:1" ht="12.75">
      <c r="A321" s="60"/>
    </row>
    <row r="322" spans="1:1" ht="12.75">
      <c r="A322" s="60"/>
    </row>
    <row r="323" spans="1:1" ht="12.75">
      <c r="A323" s="60"/>
    </row>
    <row r="324" spans="1:1" ht="12.75">
      <c r="A324" s="60"/>
    </row>
    <row r="325" spans="1:1" ht="12.75">
      <c r="A325" s="60"/>
    </row>
    <row r="326" spans="1:1" ht="12.75">
      <c r="A326" s="60"/>
    </row>
    <row r="327" spans="1:1" ht="12.75">
      <c r="A327" s="60"/>
    </row>
    <row r="328" spans="1:1" ht="12.75">
      <c r="A328" s="60"/>
    </row>
    <row r="329" spans="1:1" ht="12.75">
      <c r="A329" s="60"/>
    </row>
    <row r="330" spans="1:1" ht="12.75">
      <c r="A330" s="60"/>
    </row>
    <row r="331" spans="1:1" ht="12.75">
      <c r="A331" s="60"/>
    </row>
    <row r="332" spans="1:1" ht="12.75">
      <c r="A332" s="60"/>
    </row>
    <row r="333" spans="1:1" ht="12.75">
      <c r="A333" s="60"/>
    </row>
    <row r="334" spans="1:1" ht="12.75">
      <c r="A334" s="60"/>
    </row>
    <row r="335" spans="1:1" ht="12.75">
      <c r="A335" s="60"/>
    </row>
    <row r="336" spans="1:1" ht="12.75">
      <c r="A336" s="60"/>
    </row>
    <row r="337" spans="1:1" ht="12.75">
      <c r="A337" s="60"/>
    </row>
    <row r="338" spans="1:1" ht="12.75">
      <c r="A338" s="60"/>
    </row>
    <row r="339" spans="1:1" ht="12.75">
      <c r="A339" s="60"/>
    </row>
    <row r="340" spans="1:1" ht="12.75">
      <c r="A340" s="60"/>
    </row>
    <row r="341" spans="1:1" ht="12.75">
      <c r="A341" s="60"/>
    </row>
    <row r="342" spans="1:1" ht="12.75">
      <c r="A342" s="60"/>
    </row>
    <row r="343" spans="1:1" ht="12.75">
      <c r="A343" s="60"/>
    </row>
    <row r="344" spans="1:1" ht="12.75">
      <c r="A344" s="60"/>
    </row>
    <row r="345" spans="1:1" ht="12.75">
      <c r="A345" s="60"/>
    </row>
    <row r="346" spans="1:1" ht="12.75">
      <c r="A346" s="60"/>
    </row>
    <row r="347" spans="1:1" ht="12.75">
      <c r="A347" s="60"/>
    </row>
    <row r="348" spans="1:1" ht="12.75">
      <c r="A348" s="60"/>
    </row>
    <row r="349" spans="1:1" ht="12.75">
      <c r="A349" s="60"/>
    </row>
    <row r="350" spans="1:1" ht="12.75">
      <c r="A350" s="60"/>
    </row>
    <row r="351" spans="1:1" ht="12.75">
      <c r="A351" s="60"/>
    </row>
    <row r="352" spans="1:1" ht="12.75">
      <c r="A352" s="60"/>
    </row>
    <row r="353" spans="1:1" ht="12.75">
      <c r="A353" s="60"/>
    </row>
    <row r="354" spans="1:1" ht="12.75">
      <c r="A354" s="60"/>
    </row>
    <row r="355" spans="1:1" ht="12.75">
      <c r="A355" s="60"/>
    </row>
    <row r="356" spans="1:1" ht="12.75">
      <c r="A356" s="60"/>
    </row>
    <row r="357" spans="1:1" ht="12.75">
      <c r="A357" s="60"/>
    </row>
    <row r="358" spans="1:1" ht="12.75">
      <c r="A358" s="60"/>
    </row>
    <row r="359" spans="1:1" ht="12.75">
      <c r="A359" s="60"/>
    </row>
    <row r="360" spans="1:1" ht="12.75">
      <c r="A360" s="60"/>
    </row>
    <row r="361" spans="1:1" ht="12.75">
      <c r="A361" s="60"/>
    </row>
    <row r="362" spans="1:1" ht="12.75">
      <c r="A362" s="60"/>
    </row>
    <row r="363" spans="1:1" ht="12.75">
      <c r="A363" s="60"/>
    </row>
    <row r="364" spans="1:1" ht="12.75">
      <c r="A364" s="60"/>
    </row>
    <row r="365" spans="1:1" ht="12.75">
      <c r="A365" s="60"/>
    </row>
    <row r="366" spans="1:1" ht="12.75">
      <c r="A366" s="60"/>
    </row>
    <row r="367" spans="1:1" ht="12.75">
      <c r="A367" s="60"/>
    </row>
    <row r="368" spans="1:1" ht="12.75">
      <c r="A368" s="60"/>
    </row>
    <row r="369" spans="1:1" ht="12.75">
      <c r="A369" s="60"/>
    </row>
    <row r="370" spans="1:1" ht="12.75">
      <c r="A370" s="60"/>
    </row>
    <row r="371" spans="1:1" ht="12.75">
      <c r="A371" s="60"/>
    </row>
    <row r="372" spans="1:1" ht="12.75">
      <c r="A372" s="60"/>
    </row>
    <row r="373" spans="1:1" ht="12.75">
      <c r="A373" s="60"/>
    </row>
    <row r="374" spans="1:1" ht="12.75">
      <c r="A374" s="60"/>
    </row>
    <row r="375" spans="1:1" ht="12.75">
      <c r="A375" s="60"/>
    </row>
    <row r="376" spans="1:1" ht="12.75">
      <c r="A376" s="60"/>
    </row>
    <row r="377" spans="1:1" ht="12.75">
      <c r="A377" s="60"/>
    </row>
    <row r="378" spans="1:1" ht="12.75">
      <c r="A378" s="60"/>
    </row>
    <row r="379" spans="1:1" ht="12.75">
      <c r="A379" s="60"/>
    </row>
    <row r="380" spans="1:1" ht="12.75">
      <c r="A380" s="60"/>
    </row>
    <row r="381" spans="1:1" ht="12.75">
      <c r="A381" s="60"/>
    </row>
    <row r="382" spans="1:1" ht="12.75">
      <c r="A382" s="60"/>
    </row>
    <row r="383" spans="1:1" ht="12.75">
      <c r="A383" s="60"/>
    </row>
    <row r="384" spans="1:1" ht="12.75">
      <c r="A384" s="60"/>
    </row>
    <row r="385" spans="1:1" ht="12.75">
      <c r="A385" s="60"/>
    </row>
    <row r="386" spans="1:1" ht="12.75">
      <c r="A386" s="60"/>
    </row>
    <row r="387" spans="1:1" ht="12.75">
      <c r="A387" s="60"/>
    </row>
    <row r="388" spans="1:1" ht="12.75">
      <c r="A388" s="60"/>
    </row>
    <row r="389" spans="1:1" ht="12.75">
      <c r="A389" s="60"/>
    </row>
    <row r="390" spans="1:1" ht="12.75">
      <c r="A390" s="60"/>
    </row>
    <row r="391" spans="1:1" ht="12.75">
      <c r="A391" s="60"/>
    </row>
    <row r="392" spans="1:1" ht="12.75">
      <c r="A392" s="60"/>
    </row>
    <row r="393" spans="1:1" ht="12.75">
      <c r="A393" s="60"/>
    </row>
    <row r="394" spans="1:1" ht="12.75">
      <c r="A394" s="60"/>
    </row>
    <row r="395" spans="1:1" ht="12.75">
      <c r="A395" s="60"/>
    </row>
    <row r="396" spans="1:1" ht="12.75">
      <c r="A396" s="60"/>
    </row>
    <row r="397" spans="1:1" ht="12.75">
      <c r="A397" s="60"/>
    </row>
    <row r="398" spans="1:1" ht="12.75">
      <c r="A398" s="60"/>
    </row>
    <row r="399" spans="1:1" ht="12.75">
      <c r="A399" s="60"/>
    </row>
    <row r="400" spans="1:1" ht="12.75">
      <c r="A400" s="60"/>
    </row>
    <row r="401" spans="1:1" ht="12.75">
      <c r="A401" s="60"/>
    </row>
    <row r="402" spans="1:1" ht="12.75">
      <c r="A402" s="60"/>
    </row>
    <row r="403" spans="1:1" ht="12.75">
      <c r="A403" s="60"/>
    </row>
    <row r="404" spans="1:1" ht="12.75">
      <c r="A404" s="60"/>
    </row>
    <row r="405" spans="1:1" ht="12.75">
      <c r="A405" s="60"/>
    </row>
    <row r="406" spans="1:1" ht="12.75">
      <c r="A406" s="60"/>
    </row>
    <row r="407" spans="1:1" ht="12.75">
      <c r="A407" s="60"/>
    </row>
    <row r="408" spans="1:1" ht="12.75">
      <c r="A408" s="60"/>
    </row>
    <row r="409" spans="1:1" ht="12.75">
      <c r="A409" s="60"/>
    </row>
    <row r="410" spans="1:1" ht="12.75">
      <c r="A410" s="60"/>
    </row>
    <row r="411" spans="1:1" ht="12.75">
      <c r="A411" s="60"/>
    </row>
    <row r="412" spans="1:1" ht="12.75">
      <c r="A412" s="60"/>
    </row>
    <row r="413" spans="1:1" ht="12.75">
      <c r="A413" s="60"/>
    </row>
    <row r="414" spans="1:1" ht="12.75">
      <c r="A414" s="60"/>
    </row>
    <row r="415" spans="1:1" ht="12.75">
      <c r="A415" s="60"/>
    </row>
    <row r="416" spans="1:1" ht="12.75">
      <c r="A416" s="60"/>
    </row>
    <row r="417" spans="1:1" ht="12.75">
      <c r="A417" s="60"/>
    </row>
    <row r="418" spans="1:1" ht="12.75">
      <c r="A418" s="60"/>
    </row>
    <row r="419" spans="1:1" ht="12.75">
      <c r="A419" s="60"/>
    </row>
    <row r="420" spans="1:1" ht="12.75">
      <c r="A420" s="60"/>
    </row>
    <row r="421" spans="1:1" ht="12.75">
      <c r="A421" s="60"/>
    </row>
    <row r="422" spans="1:1" ht="12.75">
      <c r="A422" s="60"/>
    </row>
    <row r="423" spans="1:1" ht="12.75">
      <c r="A423" s="60"/>
    </row>
    <row r="424" spans="1:1" ht="12.75">
      <c r="A424" s="60"/>
    </row>
    <row r="425" spans="1:1" ht="12.75">
      <c r="A425" s="60"/>
    </row>
    <row r="426" spans="1:1" ht="12.75">
      <c r="A426" s="60"/>
    </row>
    <row r="427" spans="1:1" ht="12.75">
      <c r="A427" s="60"/>
    </row>
    <row r="428" spans="1:1" ht="12.75">
      <c r="A428" s="60"/>
    </row>
    <row r="429" spans="1:1" ht="12.75">
      <c r="A429" s="60"/>
    </row>
    <row r="430" spans="1:1" ht="12.75">
      <c r="A430" s="60"/>
    </row>
    <row r="431" spans="1:1" ht="12.75">
      <c r="A431" s="60"/>
    </row>
    <row r="432" spans="1:1" ht="12.75">
      <c r="A432" s="60"/>
    </row>
    <row r="433" spans="1:1" ht="12.75">
      <c r="A433" s="60"/>
    </row>
    <row r="434" spans="1:1" ht="12.75">
      <c r="A434" s="60"/>
    </row>
    <row r="435" spans="1:1" ht="12.75">
      <c r="A435" s="60"/>
    </row>
    <row r="436" spans="1:1" ht="12.75">
      <c r="A436" s="60"/>
    </row>
    <row r="437" spans="1:1" ht="12.75">
      <c r="A437" s="60"/>
    </row>
    <row r="438" spans="1:1" ht="12.75">
      <c r="A438" s="60"/>
    </row>
    <row r="439" spans="1:1" ht="12.75">
      <c r="A439" s="60"/>
    </row>
    <row r="440" spans="1:1" ht="12.75">
      <c r="A440" s="60"/>
    </row>
    <row r="441" spans="1:1" ht="12.75">
      <c r="A441" s="60"/>
    </row>
    <row r="442" spans="1:1" ht="12.75">
      <c r="A442" s="60"/>
    </row>
    <row r="443" spans="1:1" ht="12.75">
      <c r="A443" s="60"/>
    </row>
    <row r="444" spans="1:1" ht="12.75">
      <c r="A444" s="60"/>
    </row>
    <row r="445" spans="1:1" ht="12.75">
      <c r="A445" s="60"/>
    </row>
    <row r="446" spans="1:1" ht="12.75">
      <c r="A446" s="60"/>
    </row>
    <row r="447" spans="1:1" ht="12.75">
      <c r="A447" s="60"/>
    </row>
    <row r="448" spans="1:1" ht="12.75">
      <c r="A448" s="60"/>
    </row>
    <row r="449" spans="1:1" ht="12.75">
      <c r="A449" s="60"/>
    </row>
    <row r="450" spans="1:1" ht="12.75">
      <c r="A450" s="60"/>
    </row>
    <row r="451" spans="1:1" ht="12.75">
      <c r="A451" s="60"/>
    </row>
    <row r="452" spans="1:1" ht="12.75">
      <c r="A452" s="60"/>
    </row>
    <row r="453" spans="1:1" ht="12.75">
      <c r="A453" s="60"/>
    </row>
    <row r="454" spans="1:1" ht="12.75">
      <c r="A454" s="60"/>
    </row>
    <row r="455" spans="1:1" ht="12.75">
      <c r="A455" s="60"/>
    </row>
    <row r="456" spans="1:1" ht="12.75">
      <c r="A456" s="60"/>
    </row>
    <row r="457" spans="1:1" ht="12.75">
      <c r="A457" s="60"/>
    </row>
    <row r="458" spans="1:1" ht="12.75">
      <c r="A458" s="60"/>
    </row>
    <row r="459" spans="1:1" ht="12.75">
      <c r="A459" s="60"/>
    </row>
    <row r="460" spans="1:1" ht="12.75">
      <c r="A460" s="60"/>
    </row>
    <row r="461" spans="1:1" ht="12.75">
      <c r="A461" s="60"/>
    </row>
    <row r="462" spans="1:1" ht="12.75">
      <c r="A462" s="60"/>
    </row>
    <row r="463" spans="1:1" ht="12.75">
      <c r="A463" s="60"/>
    </row>
    <row r="464" spans="1:1" ht="12.75">
      <c r="A464" s="60"/>
    </row>
    <row r="465" spans="1:1" ht="12.75">
      <c r="A465" s="60"/>
    </row>
    <row r="466" spans="1:1" ht="12.75">
      <c r="A466" s="60"/>
    </row>
    <row r="467" spans="1:1" ht="12.75">
      <c r="A467" s="60"/>
    </row>
    <row r="468" spans="1:1" ht="12.75">
      <c r="A468" s="60"/>
    </row>
    <row r="469" spans="1:1" ht="12.75">
      <c r="A469" s="60"/>
    </row>
    <row r="470" spans="1:1" ht="12.75">
      <c r="A470" s="60"/>
    </row>
    <row r="471" spans="1:1" ht="12.75">
      <c r="A471" s="60"/>
    </row>
    <row r="472" spans="1:1" ht="12.75">
      <c r="A472" s="60"/>
    </row>
    <row r="473" spans="1:1" ht="12.75">
      <c r="A473" s="60"/>
    </row>
    <row r="474" spans="1:1" ht="12.75">
      <c r="A474" s="60"/>
    </row>
    <row r="475" spans="1:1" ht="12.75">
      <c r="A475" s="60"/>
    </row>
    <row r="476" spans="1:1" ht="12.75">
      <c r="A476" s="60"/>
    </row>
    <row r="477" spans="1:1" ht="12.75">
      <c r="A477" s="60"/>
    </row>
    <row r="478" spans="1:1" ht="12.75">
      <c r="A478" s="60"/>
    </row>
    <row r="479" spans="1:1" ht="12.75">
      <c r="A479" s="60"/>
    </row>
    <row r="480" spans="1:1" ht="12.75">
      <c r="A480" s="60"/>
    </row>
    <row r="481" spans="1:1" ht="12.75">
      <c r="A481" s="60"/>
    </row>
    <row r="482" spans="1:1" ht="12.75">
      <c r="A482" s="60"/>
    </row>
    <row r="483" spans="1:1" ht="12.75">
      <c r="A483" s="60"/>
    </row>
    <row r="484" spans="1:1" ht="12.75">
      <c r="A484" s="60"/>
    </row>
    <row r="485" spans="1:1" ht="12.75">
      <c r="A485" s="60"/>
    </row>
    <row r="486" spans="1:1" ht="12.75">
      <c r="A486" s="60"/>
    </row>
    <row r="487" spans="1:1" ht="12.75">
      <c r="A487" s="60"/>
    </row>
    <row r="488" spans="1:1" ht="12.75">
      <c r="A488" s="60"/>
    </row>
    <row r="489" spans="1:1" ht="12.75">
      <c r="A489" s="60"/>
    </row>
    <row r="490" spans="1:1" ht="12.75">
      <c r="A490" s="60"/>
    </row>
    <row r="491" spans="1:1" ht="12.75">
      <c r="A491" s="60"/>
    </row>
    <row r="492" spans="1:1" ht="12.75">
      <c r="A492" s="60"/>
    </row>
    <row r="493" spans="1:1" ht="12.75">
      <c r="A493" s="60"/>
    </row>
    <row r="494" spans="1:1" ht="12.75">
      <c r="A494" s="60"/>
    </row>
    <row r="495" spans="1:1" ht="12.75">
      <c r="A495" s="60"/>
    </row>
    <row r="496" spans="1:1" ht="12.75">
      <c r="A496" s="60"/>
    </row>
    <row r="497" spans="1:1" ht="12.75">
      <c r="A497" s="60"/>
    </row>
    <row r="498" spans="1:1" ht="12.75">
      <c r="A498" s="60"/>
    </row>
    <row r="499" spans="1:1" ht="12.75">
      <c r="A499" s="60"/>
    </row>
    <row r="500" spans="1:1" ht="12.75">
      <c r="A500" s="60"/>
    </row>
    <row r="501" spans="1:1" ht="12.75">
      <c r="A501" s="60"/>
    </row>
    <row r="502" spans="1:1" ht="12.75">
      <c r="A502" s="60"/>
    </row>
    <row r="503" spans="1:1" ht="12.75">
      <c r="A503" s="60"/>
    </row>
    <row r="504" spans="1:1" ht="12.75">
      <c r="A504" s="60"/>
    </row>
    <row r="505" spans="1:1" ht="12.75">
      <c r="A505" s="60"/>
    </row>
    <row r="506" spans="1:1" ht="12.75">
      <c r="A506" s="60"/>
    </row>
    <row r="507" spans="1:1" ht="12.75">
      <c r="A507" s="60"/>
    </row>
    <row r="508" spans="1:1" ht="12.75">
      <c r="A508" s="60"/>
    </row>
    <row r="509" spans="1:1" ht="12.75">
      <c r="A509" s="60"/>
    </row>
    <row r="510" spans="1:1" ht="12.75">
      <c r="A510" s="60"/>
    </row>
    <row r="511" spans="1:1" ht="12.75">
      <c r="A511" s="60"/>
    </row>
    <row r="512" spans="1:1" ht="12.75">
      <c r="A512" s="60"/>
    </row>
    <row r="513" spans="1:1" ht="12.75">
      <c r="A513" s="60"/>
    </row>
    <row r="514" spans="1:1" ht="12.75">
      <c r="A514" s="60"/>
    </row>
    <row r="515" spans="1:1" ht="12.75">
      <c r="A515" s="60"/>
    </row>
    <row r="516" spans="1:1" ht="12.75">
      <c r="A516" s="60"/>
    </row>
    <row r="517" spans="1:1" ht="12.75">
      <c r="A517" s="60"/>
    </row>
    <row r="518" spans="1:1" ht="12.75">
      <c r="A518" s="60"/>
    </row>
    <row r="519" spans="1:1" ht="12.75">
      <c r="A519" s="60"/>
    </row>
    <row r="520" spans="1:1" ht="12.75">
      <c r="A520" s="60"/>
    </row>
    <row r="521" spans="1:1" ht="12.75">
      <c r="A521" s="60"/>
    </row>
    <row r="522" spans="1:1" ht="12.75">
      <c r="A522" s="60"/>
    </row>
    <row r="523" spans="1:1" ht="12.75">
      <c r="A523" s="60"/>
    </row>
    <row r="524" spans="1:1" ht="12.75">
      <c r="A524" s="60"/>
    </row>
    <row r="525" spans="1:1" ht="12.75">
      <c r="A525" s="60"/>
    </row>
    <row r="526" spans="1:1" ht="12.75">
      <c r="A526" s="60"/>
    </row>
    <row r="527" spans="1:1" ht="12.75">
      <c r="A527" s="60"/>
    </row>
    <row r="528" spans="1:1" ht="12.75">
      <c r="A528" s="60"/>
    </row>
    <row r="529" spans="1:1" ht="12.75">
      <c r="A529" s="60"/>
    </row>
    <row r="530" spans="1:1" ht="12.75">
      <c r="A530" s="60"/>
    </row>
    <row r="531" spans="1:1" ht="12.75">
      <c r="A531" s="60"/>
    </row>
    <row r="532" spans="1:1" ht="12.75">
      <c r="A532" s="60"/>
    </row>
    <row r="533" spans="1:1" ht="12.75">
      <c r="A533" s="60"/>
    </row>
    <row r="534" spans="1:1" ht="12.75">
      <c r="A534" s="60"/>
    </row>
    <row r="535" spans="1:1" ht="12.75">
      <c r="A535" s="60"/>
    </row>
    <row r="536" spans="1:1" ht="12.75">
      <c r="A536" s="60"/>
    </row>
    <row r="537" spans="1:1" ht="12.75">
      <c r="A537" s="60"/>
    </row>
    <row r="538" spans="1:1" ht="12.75">
      <c r="A538" s="60"/>
    </row>
    <row r="539" spans="1:1" ht="12.75">
      <c r="A539" s="60"/>
    </row>
    <row r="540" spans="1:1" ht="12.75">
      <c r="A540" s="60"/>
    </row>
    <row r="541" spans="1:1" ht="12.75">
      <c r="A541" s="60"/>
    </row>
    <row r="542" spans="1:1" ht="12.75">
      <c r="A542" s="60"/>
    </row>
    <row r="543" spans="1:1" ht="12.75">
      <c r="A543" s="60"/>
    </row>
    <row r="544" spans="1:1" ht="12.75">
      <c r="A544" s="60"/>
    </row>
    <row r="545" spans="1:1" ht="12.75">
      <c r="A545" s="60"/>
    </row>
    <row r="546" spans="1:1" ht="12.75">
      <c r="A546" s="60"/>
    </row>
    <row r="547" spans="1:1" ht="12.75">
      <c r="A547" s="60"/>
    </row>
    <row r="548" spans="1:1" ht="12.75">
      <c r="A548" s="60"/>
    </row>
    <row r="549" spans="1:1" ht="12.75">
      <c r="A549" s="60"/>
    </row>
    <row r="550" spans="1:1" ht="12.75">
      <c r="A550" s="60"/>
    </row>
    <row r="551" spans="1:1" ht="12.75">
      <c r="A551" s="60"/>
    </row>
    <row r="552" spans="1:1" ht="12.75">
      <c r="A552" s="60"/>
    </row>
    <row r="553" spans="1:1" ht="12.75">
      <c r="A553" s="60"/>
    </row>
    <row r="554" spans="1:1" ht="12.75">
      <c r="A554" s="60"/>
    </row>
    <row r="555" spans="1:1" ht="12.75">
      <c r="A555" s="60"/>
    </row>
    <row r="556" spans="1:1" ht="12.75">
      <c r="A556" s="60"/>
    </row>
    <row r="557" spans="1:1" ht="12.75">
      <c r="A557" s="60"/>
    </row>
    <row r="558" spans="1:1" ht="12.75">
      <c r="A558" s="60"/>
    </row>
    <row r="559" spans="1:1" ht="12.75">
      <c r="A559" s="60"/>
    </row>
    <row r="560" spans="1:1" ht="12.75">
      <c r="A560" s="60"/>
    </row>
    <row r="561" spans="1:1" ht="12.75">
      <c r="A561" s="60"/>
    </row>
    <row r="562" spans="1:1" ht="12.75">
      <c r="A562" s="60"/>
    </row>
    <row r="563" spans="1:1" ht="12.75">
      <c r="A563" s="60"/>
    </row>
    <row r="564" spans="1:1" ht="12.75">
      <c r="A564" s="60"/>
    </row>
    <row r="565" spans="1:1" ht="12.75">
      <c r="A565" s="60"/>
    </row>
    <row r="566" spans="1:1" ht="12.75">
      <c r="A566" s="60"/>
    </row>
    <row r="567" spans="1:1" ht="12.75">
      <c r="A567" s="60"/>
    </row>
    <row r="568" spans="1:1" ht="12.75">
      <c r="A568" s="60"/>
    </row>
    <row r="569" spans="1:1" ht="12.75">
      <c r="A569" s="60"/>
    </row>
    <row r="570" spans="1:1" ht="12.75">
      <c r="A570" s="60"/>
    </row>
    <row r="571" spans="1:1" ht="12.75">
      <c r="A571" s="60"/>
    </row>
    <row r="572" spans="1:1" ht="12.75">
      <c r="A572" s="60"/>
    </row>
    <row r="573" spans="1:1" ht="12.75">
      <c r="A573" s="60"/>
    </row>
    <row r="574" spans="1:1" ht="12.75">
      <c r="A574" s="60"/>
    </row>
    <row r="575" spans="1:1" ht="12.75">
      <c r="A575" s="60"/>
    </row>
    <row r="576" spans="1:1" ht="12.75">
      <c r="A576" s="60"/>
    </row>
    <row r="577" spans="1:1" ht="12.75">
      <c r="A577" s="60"/>
    </row>
    <row r="578" spans="1:1" ht="12.75">
      <c r="A578" s="60"/>
    </row>
    <row r="579" spans="1:1" ht="12.75">
      <c r="A579" s="60"/>
    </row>
    <row r="580" spans="1:1" ht="12.75">
      <c r="A580" s="60"/>
    </row>
    <row r="581" spans="1:1" ht="12.75">
      <c r="A581" s="60"/>
    </row>
    <row r="582" spans="1:1" ht="12.75">
      <c r="A582" s="60"/>
    </row>
    <row r="583" spans="1:1" ht="12.75">
      <c r="A583" s="60"/>
    </row>
    <row r="584" spans="1:1" ht="12.75">
      <c r="A584" s="60"/>
    </row>
    <row r="585" spans="1:1" ht="12.75">
      <c r="A585" s="60"/>
    </row>
    <row r="586" spans="1:1" ht="12.75">
      <c r="A586" s="60"/>
    </row>
    <row r="587" spans="1:1" ht="12.75">
      <c r="A587" s="60"/>
    </row>
    <row r="588" spans="1:1" ht="12.75">
      <c r="A588" s="60"/>
    </row>
    <row r="589" spans="1:1" ht="12.75">
      <c r="A589" s="60"/>
    </row>
    <row r="590" spans="1:1" ht="12.75">
      <c r="A590" s="60"/>
    </row>
    <row r="591" spans="1:1" ht="12.75">
      <c r="A591" s="60"/>
    </row>
    <row r="592" spans="1:1" ht="12.75">
      <c r="A592" s="60"/>
    </row>
    <row r="593" spans="1:1" ht="12.75">
      <c r="A593" s="60"/>
    </row>
    <row r="594" spans="1:1" ht="12.75">
      <c r="A594" s="60"/>
    </row>
    <row r="595" spans="1:1" ht="12.75">
      <c r="A595" s="60"/>
    </row>
    <row r="596" spans="1:1" ht="12.75">
      <c r="A596" s="60"/>
    </row>
    <row r="597" spans="1:1" ht="12.75">
      <c r="A597" s="60"/>
    </row>
    <row r="598" spans="1:1" ht="12.75">
      <c r="A598" s="60"/>
    </row>
    <row r="599" spans="1:1" ht="12.75">
      <c r="A599" s="60"/>
    </row>
    <row r="600" spans="1:1" ht="12.75">
      <c r="A600" s="60"/>
    </row>
    <row r="601" spans="1:1" ht="12.75">
      <c r="A601" s="60"/>
    </row>
    <row r="602" spans="1:1" ht="12.75">
      <c r="A602" s="60"/>
    </row>
    <row r="603" spans="1:1" ht="12.75">
      <c r="A603" s="60"/>
    </row>
    <row r="604" spans="1:1" ht="12.75">
      <c r="A604" s="60"/>
    </row>
    <row r="605" spans="1:1" ht="12.75">
      <c r="A605" s="60"/>
    </row>
    <row r="606" spans="1:1" ht="12.75">
      <c r="A606" s="60"/>
    </row>
    <row r="607" spans="1:1" ht="12.75">
      <c r="A607" s="60"/>
    </row>
    <row r="608" spans="1:1" ht="12.75">
      <c r="A608" s="60"/>
    </row>
    <row r="609" spans="1:1" ht="12.75">
      <c r="A609" s="60"/>
    </row>
    <row r="610" spans="1:1" ht="12.75">
      <c r="A610" s="60"/>
    </row>
    <row r="611" spans="1:1" ht="12.75">
      <c r="A611" s="60"/>
    </row>
    <row r="612" spans="1:1" ht="12.75">
      <c r="A612" s="60"/>
    </row>
    <row r="613" spans="1:1" ht="12.75">
      <c r="A613" s="60"/>
    </row>
    <row r="614" spans="1:1" ht="12.75">
      <c r="A614" s="60"/>
    </row>
    <row r="615" spans="1:1" ht="12.75">
      <c r="A615" s="60"/>
    </row>
    <row r="616" spans="1:1" ht="12.75">
      <c r="A616" s="60"/>
    </row>
    <row r="617" spans="1:1" ht="12.75">
      <c r="A617" s="60"/>
    </row>
    <row r="618" spans="1:1" ht="12.75">
      <c r="A618" s="60"/>
    </row>
    <row r="619" spans="1:1" ht="12.75">
      <c r="A619" s="60"/>
    </row>
    <row r="620" spans="1:1" ht="12.75">
      <c r="A620" s="60"/>
    </row>
    <row r="621" spans="1:1" ht="12.75">
      <c r="A621" s="60"/>
    </row>
    <row r="622" spans="1:1" ht="12.75">
      <c r="A622" s="60"/>
    </row>
    <row r="623" spans="1:1" ht="12.75">
      <c r="A623" s="60"/>
    </row>
    <row r="624" spans="1:1" ht="12.75">
      <c r="A624" s="60"/>
    </row>
    <row r="625" spans="1:1" ht="12.75">
      <c r="A625" s="60"/>
    </row>
    <row r="626" spans="1:1" ht="12.75">
      <c r="A626" s="60"/>
    </row>
    <row r="627" spans="1:1" ht="12.75">
      <c r="A627" s="60"/>
    </row>
    <row r="628" spans="1:1" ht="12.75">
      <c r="A628" s="60"/>
    </row>
    <row r="629" spans="1:1" ht="12.75">
      <c r="A629" s="60"/>
    </row>
    <row r="630" spans="1:1" ht="12.75">
      <c r="A630" s="60"/>
    </row>
    <row r="631" spans="1:1" ht="12.75">
      <c r="A631" s="60"/>
    </row>
    <row r="632" spans="1:1" ht="12.75">
      <c r="A632" s="60"/>
    </row>
    <row r="633" spans="1:1" ht="12.75">
      <c r="A633" s="60"/>
    </row>
    <row r="634" spans="1:1" ht="12.75">
      <c r="A634" s="60"/>
    </row>
    <row r="635" spans="1:1" ht="12.75">
      <c r="A635" s="60"/>
    </row>
    <row r="636" spans="1:1" ht="12.75">
      <c r="A636" s="60"/>
    </row>
    <row r="637" spans="1:1" ht="12.75">
      <c r="A637" s="60"/>
    </row>
    <row r="638" spans="1:1" ht="12.75">
      <c r="A638" s="60"/>
    </row>
    <row r="639" spans="1:1" ht="12.75">
      <c r="A639" s="60"/>
    </row>
    <row r="640" spans="1:1" ht="12.75">
      <c r="A640" s="60"/>
    </row>
    <row r="641" spans="1:1" ht="12.75">
      <c r="A641" s="60"/>
    </row>
    <row r="642" spans="1:1" ht="12.75">
      <c r="A642" s="60"/>
    </row>
    <row r="643" spans="1:1" ht="12.75">
      <c r="A643" s="60"/>
    </row>
    <row r="644" spans="1:1" ht="12.75">
      <c r="A644" s="60"/>
    </row>
    <row r="645" spans="1:1" ht="12.75">
      <c r="A645" s="60"/>
    </row>
    <row r="646" spans="1:1" ht="12.75">
      <c r="A646" s="60"/>
    </row>
    <row r="647" spans="1:1" ht="12.75">
      <c r="A647" s="60"/>
    </row>
    <row r="648" spans="1:1" ht="12.75">
      <c r="A648" s="60"/>
    </row>
    <row r="649" spans="1:1" ht="12.75">
      <c r="A649" s="60"/>
    </row>
    <row r="650" spans="1:1" ht="12.75">
      <c r="A650" s="60"/>
    </row>
    <row r="651" spans="1:1" ht="12.75">
      <c r="A651" s="60"/>
    </row>
    <row r="652" spans="1:1" ht="12.75">
      <c r="A652" s="60"/>
    </row>
    <row r="653" spans="1:1" ht="12.75">
      <c r="A653" s="60"/>
    </row>
    <row r="654" spans="1:1" ht="12.75">
      <c r="A654" s="60"/>
    </row>
    <row r="655" spans="1:1" ht="12.75">
      <c r="A655" s="60"/>
    </row>
    <row r="656" spans="1:1" ht="12.75">
      <c r="A656" s="60"/>
    </row>
    <row r="657" spans="1:1" ht="12.75">
      <c r="A657" s="60"/>
    </row>
    <row r="658" spans="1:1" ht="12.75">
      <c r="A658" s="60"/>
    </row>
    <row r="659" spans="1:1" ht="12.75">
      <c r="A659" s="60"/>
    </row>
    <row r="660" spans="1:1" ht="12.75">
      <c r="A660" s="60"/>
    </row>
    <row r="661" spans="1:1" ht="12.75">
      <c r="A661" s="60"/>
    </row>
    <row r="662" spans="1:1" ht="12.75">
      <c r="A662" s="60"/>
    </row>
    <row r="663" spans="1:1" ht="12.75">
      <c r="A663" s="60"/>
    </row>
    <row r="664" spans="1:1" ht="12.75">
      <c r="A664" s="60"/>
    </row>
    <row r="665" spans="1:1" ht="12.75">
      <c r="A665" s="60"/>
    </row>
    <row r="666" spans="1:1" ht="12.75">
      <c r="A666" s="60"/>
    </row>
    <row r="667" spans="1:1" ht="12.75">
      <c r="A667" s="60"/>
    </row>
    <row r="668" spans="1:1" ht="12.75">
      <c r="A668" s="60"/>
    </row>
    <row r="669" spans="1:1" ht="12.75">
      <c r="A669" s="60"/>
    </row>
    <row r="670" spans="1:1" ht="12.75">
      <c r="A670" s="60"/>
    </row>
    <row r="671" spans="1:1" ht="12.75">
      <c r="A671" s="60"/>
    </row>
    <row r="672" spans="1:1" ht="12.75">
      <c r="A672" s="60"/>
    </row>
    <row r="673" spans="1:1" ht="12.75">
      <c r="A673" s="60"/>
    </row>
    <row r="674" spans="1:1" ht="12.75">
      <c r="A674" s="60"/>
    </row>
    <row r="675" spans="1:1" ht="12.75">
      <c r="A675" s="60"/>
    </row>
    <row r="676" spans="1:1" ht="12.75">
      <c r="A676" s="60"/>
    </row>
    <row r="677" spans="1:1" ht="12.75">
      <c r="A677" s="60"/>
    </row>
    <row r="678" spans="1:1" ht="12.75">
      <c r="A678" s="60"/>
    </row>
    <row r="679" spans="1:1" ht="12.75">
      <c r="A679" s="60"/>
    </row>
    <row r="680" spans="1:1" ht="12.75">
      <c r="A680" s="60"/>
    </row>
    <row r="681" spans="1:1" ht="12.75">
      <c r="A681" s="60"/>
    </row>
    <row r="682" spans="1:1" ht="12.75">
      <c r="A682" s="60"/>
    </row>
    <row r="683" spans="1:1" ht="12.75">
      <c r="A683" s="60"/>
    </row>
    <row r="684" spans="1:1" ht="12.75">
      <c r="A684" s="60"/>
    </row>
    <row r="685" spans="1:1" ht="12.75">
      <c r="A685" s="60"/>
    </row>
    <row r="686" spans="1:1" ht="12.75">
      <c r="A686" s="60"/>
    </row>
    <row r="687" spans="1:1" ht="12.75">
      <c r="A687" s="60"/>
    </row>
    <row r="688" spans="1:1" ht="12.75">
      <c r="A688" s="60"/>
    </row>
    <row r="689" spans="1:1" ht="12.75">
      <c r="A689" s="60"/>
    </row>
    <row r="690" spans="1:1" ht="12.75">
      <c r="A690" s="60"/>
    </row>
    <row r="691" spans="1:1" ht="12.75">
      <c r="A691" s="60"/>
    </row>
    <row r="692" spans="1:1" ht="12.75">
      <c r="A692" s="60"/>
    </row>
    <row r="693" spans="1:1" ht="12.75">
      <c r="A693" s="60"/>
    </row>
    <row r="694" spans="1:1" ht="12.75">
      <c r="A694" s="60"/>
    </row>
    <row r="695" spans="1:1" ht="12.75">
      <c r="A695" s="60"/>
    </row>
    <row r="696" spans="1:1" ht="12.75">
      <c r="A696" s="60"/>
    </row>
    <row r="697" spans="1:1" ht="12.75">
      <c r="A697" s="60"/>
    </row>
    <row r="698" spans="1:1" ht="12.75">
      <c r="A698" s="60"/>
    </row>
    <row r="699" spans="1:1" ht="12.75">
      <c r="A699" s="60"/>
    </row>
    <row r="700" spans="1:1" ht="12.75">
      <c r="A700" s="60"/>
    </row>
    <row r="701" spans="1:1" ht="12.75">
      <c r="A701" s="60"/>
    </row>
    <row r="702" spans="1:1" ht="12.75">
      <c r="A702" s="60"/>
    </row>
    <row r="703" spans="1:1" ht="12.75">
      <c r="A703" s="60"/>
    </row>
    <row r="704" spans="1:1" ht="12.75">
      <c r="A704" s="60"/>
    </row>
    <row r="705" spans="1:1" ht="12.75">
      <c r="A705" s="60"/>
    </row>
    <row r="706" spans="1:1" ht="12.75">
      <c r="A706" s="60"/>
    </row>
    <row r="707" spans="1:1" ht="12.75">
      <c r="A707" s="60"/>
    </row>
    <row r="708" spans="1:1" ht="12.75">
      <c r="A708" s="60"/>
    </row>
    <row r="709" spans="1:1" ht="12.75">
      <c r="A709" s="60"/>
    </row>
    <row r="710" spans="1:1" ht="12.75">
      <c r="A710" s="60"/>
    </row>
    <row r="711" spans="1:1" ht="12.75">
      <c r="A711" s="60"/>
    </row>
    <row r="712" spans="1:1" ht="12.75">
      <c r="A712" s="60"/>
    </row>
    <row r="713" spans="1:1" ht="12.75">
      <c r="A713" s="60"/>
    </row>
    <row r="714" spans="1:1" ht="12.75">
      <c r="A714" s="60"/>
    </row>
    <row r="715" spans="1:1" ht="12.75">
      <c r="A715" s="60"/>
    </row>
    <row r="716" spans="1:1" ht="12.75">
      <c r="A716" s="60"/>
    </row>
    <row r="717" spans="1:1" ht="12.75">
      <c r="A717" s="60"/>
    </row>
    <row r="718" spans="1:1" ht="12.75">
      <c r="A718" s="60"/>
    </row>
    <row r="719" spans="1:1" ht="12.75">
      <c r="A719" s="60"/>
    </row>
    <row r="720" spans="1:1" ht="12.75">
      <c r="A720" s="60"/>
    </row>
    <row r="721" spans="1:1" ht="12.75">
      <c r="A721" s="60"/>
    </row>
    <row r="722" spans="1:1" ht="12.75">
      <c r="A722" s="60"/>
    </row>
    <row r="723" spans="1:1" ht="12.75">
      <c r="A723" s="60"/>
    </row>
    <row r="724" spans="1:1" ht="12.75">
      <c r="A724" s="60"/>
    </row>
    <row r="725" spans="1:1" ht="12.75">
      <c r="A725" s="60"/>
    </row>
    <row r="726" spans="1:1" ht="12.75">
      <c r="A726" s="60"/>
    </row>
    <row r="727" spans="1:1" ht="12.75">
      <c r="A727" s="60"/>
    </row>
    <row r="728" spans="1:1" ht="12.75">
      <c r="A728" s="60"/>
    </row>
    <row r="729" spans="1:1" ht="12.75">
      <c r="A729" s="60"/>
    </row>
    <row r="730" spans="1:1" ht="12.75">
      <c r="A730" s="60"/>
    </row>
    <row r="731" spans="1:1" ht="12.75">
      <c r="A731" s="60"/>
    </row>
    <row r="732" spans="1:1" ht="12.75">
      <c r="A732" s="60"/>
    </row>
    <row r="733" spans="1:1" ht="12.75">
      <c r="A733" s="60"/>
    </row>
    <row r="734" spans="1:1" ht="12.75">
      <c r="A734" s="60"/>
    </row>
    <row r="735" spans="1:1" ht="12.75">
      <c r="A735" s="60"/>
    </row>
    <row r="736" spans="1:1" ht="12.75">
      <c r="A736" s="60"/>
    </row>
    <row r="737" spans="1:1" ht="12.75">
      <c r="A737" s="60"/>
    </row>
    <row r="738" spans="1:1" ht="12.75">
      <c r="A738" s="60"/>
    </row>
    <row r="739" spans="1:1" ht="12.75">
      <c r="A739" s="60"/>
    </row>
    <row r="740" spans="1:1" ht="12.75">
      <c r="A740" s="60"/>
    </row>
    <row r="741" spans="1:1" ht="12.75">
      <c r="A741" s="60"/>
    </row>
    <row r="742" spans="1:1" ht="12.75">
      <c r="A742" s="60"/>
    </row>
    <row r="743" spans="1:1" ht="12.75">
      <c r="A743" s="60"/>
    </row>
    <row r="744" spans="1:1" ht="12.75">
      <c r="A744" s="60"/>
    </row>
    <row r="745" spans="1:1" ht="12.75">
      <c r="A745" s="60"/>
    </row>
    <row r="746" spans="1:1" ht="12.75">
      <c r="A746" s="60"/>
    </row>
    <row r="747" spans="1:1" ht="12.75">
      <c r="A747" s="60"/>
    </row>
    <row r="748" spans="1:1" ht="12.75">
      <c r="A748" s="60"/>
    </row>
    <row r="749" spans="1:1" ht="12.75">
      <c r="A749" s="60"/>
    </row>
    <row r="750" spans="1:1" ht="12.75">
      <c r="A750" s="60"/>
    </row>
    <row r="751" spans="1:1" ht="12.75">
      <c r="A751" s="60"/>
    </row>
    <row r="752" spans="1:1" ht="12.75">
      <c r="A752" s="60"/>
    </row>
    <row r="753" spans="1:1" ht="12.75">
      <c r="A753" s="60"/>
    </row>
    <row r="754" spans="1:1" ht="12.75">
      <c r="A754" s="60"/>
    </row>
    <row r="755" spans="1:1" ht="12.75">
      <c r="A755" s="60"/>
    </row>
    <row r="756" spans="1:1" ht="12.75">
      <c r="A756" s="60"/>
    </row>
    <row r="757" spans="1:1" ht="12.75">
      <c r="A757" s="60"/>
    </row>
    <row r="758" spans="1:1" ht="12.75">
      <c r="A758" s="60"/>
    </row>
    <row r="759" spans="1:1" ht="12.75">
      <c r="A759" s="60"/>
    </row>
    <row r="760" spans="1:1" ht="12.75">
      <c r="A760" s="60"/>
    </row>
    <row r="761" spans="1:1" ht="12.75">
      <c r="A761" s="60"/>
    </row>
    <row r="762" spans="1:1" ht="12.75">
      <c r="A762" s="60"/>
    </row>
    <row r="763" spans="1:1" ht="12.75">
      <c r="A763" s="60"/>
    </row>
    <row r="764" spans="1:1" ht="12.75">
      <c r="A764" s="60"/>
    </row>
    <row r="765" spans="1:1" ht="12.75">
      <c r="A765" s="60"/>
    </row>
    <row r="766" spans="1:1" ht="12.75">
      <c r="A766" s="60"/>
    </row>
    <row r="767" spans="1:1" ht="12.75">
      <c r="A767" s="60"/>
    </row>
    <row r="768" spans="1:1" ht="12.75">
      <c r="A768" s="60"/>
    </row>
    <row r="769" spans="1:1" ht="12.75">
      <c r="A769" s="60"/>
    </row>
    <row r="770" spans="1:1" ht="12.75">
      <c r="A770" s="60"/>
    </row>
    <row r="771" spans="1:1" ht="12.75">
      <c r="A771" s="60"/>
    </row>
    <row r="772" spans="1:1" ht="12.75">
      <c r="A772" s="60"/>
    </row>
    <row r="773" spans="1:1" ht="12.75">
      <c r="A773" s="60"/>
    </row>
    <row r="774" spans="1:1" ht="12.75">
      <c r="A774" s="60"/>
    </row>
    <row r="775" spans="1:1" ht="12.75">
      <c r="A775" s="60"/>
    </row>
    <row r="776" spans="1:1" ht="12.75">
      <c r="A776" s="60"/>
    </row>
    <row r="777" spans="1:1" ht="12.75">
      <c r="A777" s="60"/>
    </row>
    <row r="778" spans="1:1" ht="12.75">
      <c r="A778" s="60"/>
    </row>
    <row r="779" spans="1:1" ht="12.75">
      <c r="A779" s="60"/>
    </row>
    <row r="780" spans="1:1" ht="12.75">
      <c r="A780" s="60"/>
    </row>
    <row r="781" spans="1:1" ht="12.75">
      <c r="A781" s="60"/>
    </row>
    <row r="782" spans="1:1" ht="12.75">
      <c r="A782" s="60"/>
    </row>
    <row r="783" spans="1:1" ht="12.75">
      <c r="A783" s="60"/>
    </row>
    <row r="784" spans="1:1" ht="12.75">
      <c r="A784" s="60"/>
    </row>
    <row r="785" spans="1:1" ht="12.75">
      <c r="A785" s="60"/>
    </row>
    <row r="786" spans="1:1" ht="12.75">
      <c r="A786" s="60"/>
    </row>
    <row r="787" spans="1:1" ht="12.75">
      <c r="A787" s="60"/>
    </row>
    <row r="788" spans="1:1" ht="12.75">
      <c r="A788" s="60"/>
    </row>
    <row r="789" spans="1:1" ht="12.75">
      <c r="A789" s="60"/>
    </row>
    <row r="790" spans="1:1" ht="12.75">
      <c r="A790" s="60"/>
    </row>
    <row r="791" spans="1:1" ht="12.75">
      <c r="A791" s="60"/>
    </row>
    <row r="792" spans="1:1" ht="12.75">
      <c r="A792" s="60"/>
    </row>
    <row r="793" spans="1:1" ht="12.75">
      <c r="A793" s="60"/>
    </row>
    <row r="794" spans="1:1" ht="12.75">
      <c r="A794" s="60"/>
    </row>
    <row r="795" spans="1:1" ht="12.75">
      <c r="A795" s="60"/>
    </row>
    <row r="796" spans="1:1" ht="12.75">
      <c r="A796" s="60"/>
    </row>
    <row r="797" spans="1:1" ht="12.75">
      <c r="A797" s="60"/>
    </row>
    <row r="798" spans="1:1" ht="12.75">
      <c r="A798" s="60"/>
    </row>
    <row r="799" spans="1:1" ht="12.75">
      <c r="A799" s="60"/>
    </row>
    <row r="800" spans="1:1" ht="12.75">
      <c r="A800" s="60"/>
    </row>
    <row r="801" spans="1:1" ht="12.75">
      <c r="A801" s="60"/>
    </row>
    <row r="802" spans="1:1" ht="12.75">
      <c r="A802" s="60"/>
    </row>
    <row r="803" spans="1:1" ht="12.75">
      <c r="A803" s="60"/>
    </row>
    <row r="804" spans="1:1" ht="12.75">
      <c r="A804" s="60"/>
    </row>
    <row r="805" spans="1:1" ht="12.75">
      <c r="A805" s="60"/>
    </row>
    <row r="806" spans="1:1" ht="12.75">
      <c r="A806" s="60"/>
    </row>
    <row r="807" spans="1:1" ht="12.75">
      <c r="A807" s="60"/>
    </row>
    <row r="808" spans="1:1" ht="12.75">
      <c r="A808" s="60"/>
    </row>
    <row r="809" spans="1:1" ht="12.75">
      <c r="A809" s="60"/>
    </row>
    <row r="810" spans="1:1" ht="12.75">
      <c r="A810" s="60"/>
    </row>
    <row r="811" spans="1:1" ht="12.75">
      <c r="A811" s="60"/>
    </row>
    <row r="812" spans="1:1" ht="12.75">
      <c r="A812" s="60"/>
    </row>
    <row r="813" spans="1:1" ht="12.75">
      <c r="A813" s="60"/>
    </row>
    <row r="814" spans="1:1" ht="12.75">
      <c r="A814" s="60"/>
    </row>
    <row r="815" spans="1:1" ht="12.75">
      <c r="A815" s="60"/>
    </row>
    <row r="816" spans="1:1" ht="12.75">
      <c r="A816" s="60"/>
    </row>
    <row r="817" spans="1:1" ht="12.75">
      <c r="A817" s="60"/>
    </row>
    <row r="818" spans="1:1" ht="12.75">
      <c r="A818" s="60"/>
    </row>
    <row r="819" spans="1:1" ht="12.75">
      <c r="A819" s="60"/>
    </row>
    <row r="820" spans="1:1" ht="12.75">
      <c r="A820" s="60"/>
    </row>
    <row r="821" spans="1:1" ht="12.75">
      <c r="A821" s="60"/>
    </row>
    <row r="822" spans="1:1" ht="12.75">
      <c r="A822" s="60"/>
    </row>
    <row r="823" spans="1:1" ht="12.75">
      <c r="A823" s="60"/>
    </row>
    <row r="824" spans="1:1" ht="12.75">
      <c r="A824" s="60"/>
    </row>
    <row r="825" spans="1:1" ht="12.75">
      <c r="A825" s="60"/>
    </row>
    <row r="826" spans="1:1" ht="12.75">
      <c r="A826" s="60"/>
    </row>
    <row r="827" spans="1:1" ht="12.75">
      <c r="A827" s="60"/>
    </row>
    <row r="828" spans="1:1" ht="12.75">
      <c r="A828" s="60"/>
    </row>
    <row r="829" spans="1:1" ht="12.75">
      <c r="A829" s="60"/>
    </row>
    <row r="830" spans="1:1" ht="12.75">
      <c r="A830" s="60"/>
    </row>
    <row r="831" spans="1:1" ht="12.75">
      <c r="A831" s="60"/>
    </row>
    <row r="832" spans="1:1" ht="12.75">
      <c r="A832" s="60"/>
    </row>
    <row r="833" spans="1:1" ht="12.75">
      <c r="A833" s="60"/>
    </row>
    <row r="834" spans="1:1" ht="12.75">
      <c r="A834" s="60"/>
    </row>
    <row r="835" spans="1:1" ht="12.75">
      <c r="A835" s="60"/>
    </row>
    <row r="836" spans="1:1" ht="12.75">
      <c r="A836" s="60"/>
    </row>
    <row r="837" spans="1:1" ht="12.75">
      <c r="A837" s="60"/>
    </row>
    <row r="838" spans="1:1" ht="12.75">
      <c r="A838" s="60"/>
    </row>
    <row r="839" spans="1:1" ht="12.75">
      <c r="A839" s="60"/>
    </row>
    <row r="840" spans="1:1" ht="12.75">
      <c r="A840" s="60"/>
    </row>
    <row r="841" spans="1:1" ht="12.75">
      <c r="A841" s="60"/>
    </row>
    <row r="842" spans="1:1" ht="12.75">
      <c r="A842" s="60"/>
    </row>
    <row r="843" spans="1:1" ht="12.75">
      <c r="A843" s="60"/>
    </row>
    <row r="844" spans="1:1" ht="12.75">
      <c r="A844" s="60"/>
    </row>
    <row r="845" spans="1:1" ht="12.75">
      <c r="A845" s="60"/>
    </row>
    <row r="846" spans="1:1" ht="12.75">
      <c r="A846" s="60"/>
    </row>
    <row r="847" spans="1:1" ht="12.75">
      <c r="A847" s="60"/>
    </row>
    <row r="848" spans="1:1" ht="12.75">
      <c r="A848" s="60"/>
    </row>
    <row r="849" spans="1:1" ht="12.75">
      <c r="A849" s="60"/>
    </row>
    <row r="850" spans="1:1" ht="12.75">
      <c r="A850" s="60"/>
    </row>
    <row r="851" spans="1:1" ht="12.75">
      <c r="A851" s="60"/>
    </row>
    <row r="852" spans="1:1" ht="12.75">
      <c r="A852" s="60"/>
    </row>
    <row r="853" spans="1:1" ht="12.75">
      <c r="A853" s="60"/>
    </row>
    <row r="854" spans="1:1" ht="12.75">
      <c r="A854" s="60"/>
    </row>
    <row r="855" spans="1:1" ht="12.75">
      <c r="A855" s="60"/>
    </row>
    <row r="856" spans="1:1" ht="12.75">
      <c r="A856" s="60"/>
    </row>
    <row r="857" spans="1:1" ht="12.75">
      <c r="A857" s="60"/>
    </row>
    <row r="858" spans="1:1" ht="12.75">
      <c r="A858" s="60"/>
    </row>
    <row r="859" spans="1:1" ht="12.75">
      <c r="A859" s="60"/>
    </row>
    <row r="860" spans="1:1" ht="12.75">
      <c r="A860" s="60"/>
    </row>
    <row r="861" spans="1:1" ht="12.75">
      <c r="A861" s="60"/>
    </row>
    <row r="862" spans="1:1" ht="12.75">
      <c r="A862" s="60"/>
    </row>
    <row r="863" spans="1:1" ht="12.75">
      <c r="A863" s="60"/>
    </row>
    <row r="864" spans="1:1" ht="12.75">
      <c r="A864" s="60"/>
    </row>
    <row r="865" spans="1:1" ht="12.75">
      <c r="A865" s="60"/>
    </row>
    <row r="866" spans="1:1" ht="12.75">
      <c r="A866" s="60"/>
    </row>
    <row r="867" spans="1:1" ht="12.75">
      <c r="A867" s="60"/>
    </row>
    <row r="868" spans="1:1" ht="12.75">
      <c r="A868" s="60"/>
    </row>
    <row r="869" spans="1:1" ht="12.75">
      <c r="A869" s="60"/>
    </row>
    <row r="870" spans="1:1" ht="12.75">
      <c r="A870" s="60"/>
    </row>
    <row r="871" spans="1:1" ht="12.75">
      <c r="A871" s="60"/>
    </row>
    <row r="872" spans="1:1" ht="12.75">
      <c r="A872" s="60"/>
    </row>
    <row r="873" spans="1:1" ht="12.75">
      <c r="A873" s="60"/>
    </row>
    <row r="874" spans="1:1" ht="12.75">
      <c r="A874" s="60"/>
    </row>
    <row r="875" spans="1:1" ht="12.75">
      <c r="A875" s="60"/>
    </row>
    <row r="876" spans="1:1" ht="12.75">
      <c r="A876" s="60"/>
    </row>
    <row r="877" spans="1:1" ht="12.75">
      <c r="A877" s="60"/>
    </row>
    <row r="878" spans="1:1" ht="12.75">
      <c r="A878" s="60"/>
    </row>
    <row r="879" spans="1:1" ht="12.75">
      <c r="A879" s="60"/>
    </row>
    <row r="880" spans="1:1" ht="12.75">
      <c r="A880" s="60"/>
    </row>
    <row r="881" spans="1:1" ht="12.75">
      <c r="A881" s="60"/>
    </row>
    <row r="882" spans="1:1" ht="12.75">
      <c r="A882" s="60"/>
    </row>
    <row r="883" spans="1:1" ht="12.75">
      <c r="A883" s="60"/>
    </row>
    <row r="884" spans="1:1" ht="12.75">
      <c r="A884" s="60"/>
    </row>
    <row r="885" spans="1:1" ht="12.75">
      <c r="A885" s="60"/>
    </row>
    <row r="886" spans="1:1" ht="12.75">
      <c r="A886" s="60"/>
    </row>
    <row r="887" spans="1:1" ht="12.75">
      <c r="A887" s="60"/>
    </row>
    <row r="888" spans="1:1" ht="12.75">
      <c r="A888" s="60"/>
    </row>
    <row r="889" spans="1:1" ht="12.75">
      <c r="A889" s="60"/>
    </row>
    <row r="890" spans="1:1" ht="12.75">
      <c r="A890" s="60"/>
    </row>
    <row r="891" spans="1:1" ht="12.75">
      <c r="A891" s="60"/>
    </row>
    <row r="892" spans="1:1" ht="12.75">
      <c r="A892" s="60"/>
    </row>
    <row r="893" spans="1:1" ht="12.75">
      <c r="A893" s="60"/>
    </row>
    <row r="894" spans="1:1" ht="12.75">
      <c r="A894" s="60"/>
    </row>
    <row r="895" spans="1:1" ht="12.75">
      <c r="A895" s="60"/>
    </row>
    <row r="896" spans="1:1" ht="12.75">
      <c r="A896" s="60"/>
    </row>
    <row r="897" spans="1:1" ht="12.75">
      <c r="A897" s="60"/>
    </row>
    <row r="898" spans="1:1" ht="12.75">
      <c r="A898" s="60"/>
    </row>
    <row r="899" spans="1:1" ht="12.75">
      <c r="A899" s="60"/>
    </row>
    <row r="900" spans="1:1" ht="12.75">
      <c r="A900" s="60"/>
    </row>
    <row r="901" spans="1:1" ht="12.75">
      <c r="A901" s="60"/>
    </row>
    <row r="902" spans="1:1" ht="12.75">
      <c r="A902" s="60"/>
    </row>
    <row r="903" spans="1:1" ht="12.75">
      <c r="A903" s="60"/>
    </row>
    <row r="904" spans="1:1" ht="12.75">
      <c r="A904" s="60"/>
    </row>
    <row r="905" spans="1:1" ht="12.75">
      <c r="A905" s="60"/>
    </row>
    <row r="906" spans="1:1" ht="12.75">
      <c r="A906" s="60"/>
    </row>
    <row r="907" spans="1:1" ht="12.75">
      <c r="A907" s="60"/>
    </row>
    <row r="908" spans="1:1" ht="12.75">
      <c r="A908" s="60"/>
    </row>
    <row r="909" spans="1:1" ht="12.75">
      <c r="A909" s="60"/>
    </row>
    <row r="910" spans="1:1" ht="12.75">
      <c r="A910" s="60"/>
    </row>
    <row r="911" spans="1:1" ht="12.75">
      <c r="A911" s="60"/>
    </row>
    <row r="912" spans="1:1" ht="12.75">
      <c r="A912" s="60"/>
    </row>
    <row r="913" spans="1:1" ht="12.75">
      <c r="A913" s="60"/>
    </row>
    <row r="914" spans="1:1" ht="12.75">
      <c r="A914" s="60"/>
    </row>
    <row r="915" spans="1:1" ht="12.75">
      <c r="A915" s="60"/>
    </row>
    <row r="916" spans="1:1" ht="12.75">
      <c r="A916" s="60"/>
    </row>
    <row r="917" spans="1:1" ht="12.75">
      <c r="A917" s="60"/>
    </row>
    <row r="918" spans="1:1" ht="12.75">
      <c r="A918" s="60"/>
    </row>
    <row r="919" spans="1:1" ht="12.75">
      <c r="A919" s="60"/>
    </row>
    <row r="920" spans="1:1" ht="12.75">
      <c r="A920" s="60"/>
    </row>
    <row r="921" spans="1:1" ht="12.75">
      <c r="A921" s="60"/>
    </row>
    <row r="922" spans="1:1" ht="12.75">
      <c r="A922" s="60"/>
    </row>
    <row r="923" spans="1:1" ht="12.75">
      <c r="A923" s="60"/>
    </row>
    <row r="924" spans="1:1" ht="12.75">
      <c r="A924" s="60"/>
    </row>
    <row r="925" spans="1:1" ht="12.75">
      <c r="A925" s="60"/>
    </row>
    <row r="926" spans="1:1" ht="12.75">
      <c r="A926" s="60"/>
    </row>
    <row r="927" spans="1:1" ht="12.75">
      <c r="A927" s="60"/>
    </row>
    <row r="928" spans="1:1" ht="12.75">
      <c r="A928" s="60"/>
    </row>
    <row r="929" spans="1:1" ht="12.75">
      <c r="A929" s="60"/>
    </row>
    <row r="930" spans="1:1" ht="12.75">
      <c r="A930" s="60"/>
    </row>
    <row r="931" spans="1:1" ht="12.75">
      <c r="A931" s="60"/>
    </row>
    <row r="932" spans="1:1" ht="12.75">
      <c r="A932" s="60"/>
    </row>
    <row r="933" spans="1:1" ht="12.75">
      <c r="A933" s="60"/>
    </row>
    <row r="934" spans="1:1" ht="12.75">
      <c r="A934" s="60"/>
    </row>
    <row r="935" spans="1:1" ht="12.75">
      <c r="A935" s="60"/>
    </row>
    <row r="936" spans="1:1" ht="12.75">
      <c r="A936" s="60"/>
    </row>
    <row r="937" spans="1:1" ht="12.75">
      <c r="A937" s="60"/>
    </row>
    <row r="938" spans="1:1" ht="12.75">
      <c r="A938" s="60"/>
    </row>
    <row r="939" spans="1:1" ht="12.75">
      <c r="A939" s="60"/>
    </row>
    <row r="940" spans="1:1" ht="12.75">
      <c r="A940" s="60"/>
    </row>
    <row r="941" spans="1:1" ht="12.75">
      <c r="A941" s="60"/>
    </row>
    <row r="942" spans="1:1" ht="12.75">
      <c r="A942" s="60"/>
    </row>
    <row r="943" spans="1:1" ht="12.75">
      <c r="A943" s="60"/>
    </row>
    <row r="944" spans="1:1" ht="12.75">
      <c r="A944" s="60"/>
    </row>
    <row r="945" spans="1:1" ht="12.75">
      <c r="A945" s="60"/>
    </row>
    <row r="946" spans="1:1" ht="12.75">
      <c r="A946" s="60"/>
    </row>
    <row r="947" spans="1:1" ht="12.75">
      <c r="A947" s="60"/>
    </row>
    <row r="948" spans="1:1" ht="12.75">
      <c r="A948" s="60"/>
    </row>
    <row r="949" spans="1:1" ht="12.75">
      <c r="A949" s="60"/>
    </row>
    <row r="950" spans="1:1" ht="12.75">
      <c r="A950" s="60"/>
    </row>
    <row r="951" spans="1:1" ht="12.75">
      <c r="A951" s="60"/>
    </row>
    <row r="952" spans="1:1" ht="12.75">
      <c r="A952" s="60"/>
    </row>
    <row r="953" spans="1:1" ht="12.75">
      <c r="A953" s="60"/>
    </row>
    <row r="954" spans="1:1" ht="12.75">
      <c r="A954" s="60"/>
    </row>
    <row r="955" spans="1:1" ht="12.75">
      <c r="A955" s="60"/>
    </row>
    <row r="956" spans="1:1" ht="12.75">
      <c r="A956" s="60"/>
    </row>
    <row r="957" spans="1:1" ht="12.75">
      <c r="A957" s="60"/>
    </row>
    <row r="958" spans="1:1" ht="12.75">
      <c r="A958" s="60"/>
    </row>
    <row r="959" spans="1:1" ht="12.75">
      <c r="A959" s="60"/>
    </row>
    <row r="960" spans="1:1" ht="12.75">
      <c r="A960" s="60"/>
    </row>
    <row r="961" spans="1:1" ht="12.75">
      <c r="A961" s="60"/>
    </row>
    <row r="962" spans="1:1" ht="12.75">
      <c r="A962" s="60"/>
    </row>
    <row r="963" spans="1:1" ht="12.75">
      <c r="A963" s="60"/>
    </row>
    <row r="964" spans="1:1" ht="12.75">
      <c r="A964" s="60"/>
    </row>
    <row r="965" spans="1:1" ht="12.75">
      <c r="A965" s="60"/>
    </row>
    <row r="966" spans="1:1" ht="12.75">
      <c r="A966" s="60"/>
    </row>
    <row r="967" spans="1:1" ht="12.75">
      <c r="A967" s="60"/>
    </row>
    <row r="968" spans="1:1" ht="12.75">
      <c r="A968" s="60"/>
    </row>
    <row r="969" spans="1:1" ht="12.75">
      <c r="A969" s="60"/>
    </row>
    <row r="970" spans="1:1" ht="12.75">
      <c r="A970" s="60"/>
    </row>
    <row r="971" spans="1:1" ht="12.75">
      <c r="A971" s="60"/>
    </row>
    <row r="972" spans="1:1" ht="12.75">
      <c r="A972" s="60"/>
    </row>
    <row r="973" spans="1:1" ht="12.75">
      <c r="A973" s="60"/>
    </row>
  </sheetData>
  <mergeCells count="92">
    <mergeCell ref="AZ10:AZ13"/>
    <mergeCell ref="BA10:BA13"/>
    <mergeCell ref="AN10:AN13"/>
    <mergeCell ref="AO10:AO13"/>
    <mergeCell ref="AP10:AP13"/>
    <mergeCell ref="AQ10:AQ13"/>
    <mergeCell ref="AR10:AR13"/>
    <mergeCell ref="AS10:AS13"/>
    <mergeCell ref="AT10:AT13"/>
    <mergeCell ref="AN30:AO30"/>
    <mergeCell ref="AS30:AT30"/>
    <mergeCell ref="AY30:AZ30"/>
    <mergeCell ref="X10:X13"/>
    <mergeCell ref="Y10:Y13"/>
    <mergeCell ref="Z10:Z13"/>
    <mergeCell ref="AA10:AA13"/>
    <mergeCell ref="AB10:AB13"/>
    <mergeCell ref="AC10:AC13"/>
    <mergeCell ref="AD10:AD13"/>
    <mergeCell ref="Y30:AD30"/>
    <mergeCell ref="AU10:AU13"/>
    <mergeCell ref="AV10:AV13"/>
    <mergeCell ref="AW10:AW13"/>
    <mergeCell ref="AX10:AX13"/>
    <mergeCell ref="AY10:AY13"/>
    <mergeCell ref="AE10:AE13"/>
    <mergeCell ref="AF10:AF13"/>
    <mergeCell ref="AE30:AF30"/>
    <mergeCell ref="AH30:AJ30"/>
    <mergeCell ref="AL30:AM30"/>
    <mergeCell ref="AG10:AG13"/>
    <mergeCell ref="AH10:AH13"/>
    <mergeCell ref="AI10:AI13"/>
    <mergeCell ref="AJ10:AJ13"/>
    <mergeCell ref="AK10:AK13"/>
    <mergeCell ref="AL10:AL13"/>
    <mergeCell ref="AM10:AM13"/>
    <mergeCell ref="R30:T30"/>
    <mergeCell ref="V30:W30"/>
    <mergeCell ref="G6:G9"/>
    <mergeCell ref="A10:A13"/>
    <mergeCell ref="B10:B13"/>
    <mergeCell ref="C10:C13"/>
    <mergeCell ref="D10:D13"/>
    <mergeCell ref="E10:E13"/>
    <mergeCell ref="F10:F13"/>
    <mergeCell ref="N10:N13"/>
    <mergeCell ref="O10:P13"/>
    <mergeCell ref="Q10:Q13"/>
    <mergeCell ref="R10:R13"/>
    <mergeCell ref="S10:S13"/>
    <mergeCell ref="T10:V13"/>
    <mergeCell ref="W10:W13"/>
    <mergeCell ref="M10:M13"/>
    <mergeCell ref="H11:H13"/>
    <mergeCell ref="G11:G13"/>
    <mergeCell ref="F30:G30"/>
    <mergeCell ref="I30:K30"/>
    <mergeCell ref="M30:Q30"/>
    <mergeCell ref="G10:H10"/>
    <mergeCell ref="I10:I13"/>
    <mergeCell ref="J10:J13"/>
    <mergeCell ref="K10:K13"/>
    <mergeCell ref="L10:L13"/>
    <mergeCell ref="AT6:AT9"/>
    <mergeCell ref="AU6:AU9"/>
    <mergeCell ref="AY6:AY9"/>
    <mergeCell ref="A3:A5"/>
    <mergeCell ref="B5:L5"/>
    <mergeCell ref="O5:AG5"/>
    <mergeCell ref="AJ5:AY5"/>
    <mergeCell ref="A6:A9"/>
    <mergeCell ref="E6:E9"/>
    <mergeCell ref="F6:F9"/>
    <mergeCell ref="H6:H9"/>
    <mergeCell ref="AA6:AA9"/>
    <mergeCell ref="AB6:AB9"/>
    <mergeCell ref="AC6:AC9"/>
    <mergeCell ref="AD6:AD9"/>
    <mergeCell ref="AE6:AE9"/>
    <mergeCell ref="L6:L9"/>
    <mergeCell ref="O6:O9"/>
    <mergeCell ref="AO6:AO9"/>
    <mergeCell ref="AP6:AP9"/>
    <mergeCell ref="AS6:AS9"/>
    <mergeCell ref="AF6:AF9"/>
    <mergeCell ref="AG6:AG9"/>
    <mergeCell ref="AH6:AH9"/>
    <mergeCell ref="AK6:AK9"/>
    <mergeCell ref="AM6:AM9"/>
    <mergeCell ref="AI6:AI9"/>
    <mergeCell ref="AJ6:AJ9"/>
  </mergeCells>
  <conditionalFormatting sqref="B16:AN16 B20:AW20 AY20:AZ20">
    <cfRule type="colorScale" priority="4">
      <colorScale>
        <cfvo type="formula" val="0"/>
        <cfvo type="formula" val="0.0866"/>
        <cfvo type="formula" val="0.17"/>
        <color rgb="FF38761D"/>
        <color rgb="FFF1C232"/>
        <color rgb="FFCC0000"/>
      </colorScale>
    </cfRule>
  </conditionalFormatting>
  <conditionalFormatting sqref="B22:AN22 B26:AW26 AY26:AZ26">
    <cfRule type="colorScale" priority="6">
      <colorScale>
        <cfvo type="formula" val="0"/>
        <cfvo type="formula" val="0.0866"/>
        <color rgb="FFE06666"/>
        <color rgb="FF6AA84F"/>
      </colorScale>
    </cfRule>
  </conditionalFormatting>
  <conditionalFormatting sqref="B15:AW15 AY15:AZ15">
    <cfRule type="colorScale" priority="2">
      <colorScale>
        <cfvo type="formula" val="0.2"/>
        <cfvo type="formula" val="0.292"/>
        <color rgb="FF6AA84F"/>
        <color rgb="FFE06666"/>
      </colorScale>
    </cfRule>
  </conditionalFormatting>
  <conditionalFormatting sqref="B16:AW16 AY16:AZ16">
    <cfRule type="colorScale" priority="3">
      <colorScale>
        <cfvo type="formula" val="0"/>
        <cfvo type="formula" val="0.125"/>
        <color rgb="FFCC0000"/>
        <color rgb="FF38761D"/>
      </colorScale>
    </cfRule>
  </conditionalFormatting>
  <conditionalFormatting sqref="B22:AW22 AY22:AZ22">
    <cfRule type="colorScale" priority="5">
      <colorScale>
        <cfvo type="formula" val="0.12"/>
        <cfvo type="formula" val="0.29"/>
        <color rgb="FF38761D"/>
        <color rgb="FFCC0000"/>
      </colorScale>
    </cfRule>
  </conditionalFormatting>
  <conditionalFormatting sqref="B31:AW31 AY31:AZ31">
    <cfRule type="colorScale" priority="1">
      <colorScale>
        <cfvo type="formula" val="-1"/>
        <cfvo type="formula" val="0"/>
        <cfvo type="formula" val="1"/>
        <color rgb="FFEA9999"/>
        <color rgb="FFFFFFFF"/>
        <color rgb="FF93C47D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973"/>
  <sheetViews>
    <sheetView tabSelected="1" topLeftCell="A10" workbookViewId="0">
      <pane xSplit="1" topLeftCell="B1" activePane="topRight" state="frozen"/>
      <selection pane="topRight" activeCell="F42" sqref="F42"/>
    </sheetView>
  </sheetViews>
  <sheetFormatPr defaultColWidth="12.5703125" defaultRowHeight="15.75" customHeight="1"/>
  <cols>
    <col min="1" max="1" width="42.5703125" customWidth="1"/>
  </cols>
  <sheetData>
    <row r="1" spans="1:5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5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53">
      <c r="A3" s="114">
        <v>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53">
      <c r="A4" s="7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>
      <c r="A5" s="80"/>
      <c r="B5" s="4"/>
      <c r="C5" s="70" t="s">
        <v>93</v>
      </c>
      <c r="D5" s="71"/>
      <c r="E5" s="71"/>
      <c r="F5" s="71"/>
      <c r="G5" s="71"/>
      <c r="H5" s="71"/>
      <c r="I5" s="72"/>
      <c r="J5" s="10"/>
      <c r="K5" s="116" t="s">
        <v>94</v>
      </c>
      <c r="L5" s="71"/>
      <c r="M5" s="71"/>
      <c r="N5" s="71"/>
      <c r="O5" s="71"/>
      <c r="P5" s="71"/>
      <c r="Q5" s="72"/>
      <c r="R5" s="2"/>
      <c r="S5" s="2"/>
      <c r="T5" s="2"/>
      <c r="U5" s="70" t="s">
        <v>95</v>
      </c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2"/>
      <c r="AK5" s="2"/>
      <c r="AL5" s="2"/>
      <c r="AM5" s="70" t="s">
        <v>0</v>
      </c>
      <c r="AN5" s="71"/>
      <c r="AO5" s="72"/>
    </row>
    <row r="6" spans="1:53" ht="12.75">
      <c r="A6" s="73">
        <f>SUM(A31:AK31) +1500+5000+1000 + 3000</f>
        <v>-8148</v>
      </c>
      <c r="B6" s="74"/>
      <c r="C6" s="74"/>
      <c r="D6" s="6"/>
      <c r="E6" s="6"/>
      <c r="F6" s="6"/>
      <c r="G6" s="6"/>
      <c r="H6" s="6"/>
      <c r="I6" s="62"/>
      <c r="J6" s="6"/>
      <c r="K6" s="6"/>
      <c r="L6" s="6"/>
      <c r="M6" s="6"/>
      <c r="N6" s="6"/>
      <c r="O6" s="6"/>
      <c r="P6" s="6"/>
      <c r="Q6" s="117"/>
      <c r="R6" s="6"/>
      <c r="S6" s="6"/>
      <c r="T6" s="6"/>
      <c r="U6" s="115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117"/>
      <c r="AK6" s="6"/>
      <c r="AL6" s="6"/>
      <c r="AM6" s="82"/>
      <c r="AN6" s="82"/>
      <c r="AO6" s="82"/>
    </row>
    <row r="7" spans="1:53" ht="12.75">
      <c r="A7" s="64"/>
      <c r="B7" s="64"/>
      <c r="C7" s="64"/>
      <c r="D7" s="6"/>
      <c r="E7" s="6"/>
      <c r="F7" s="6"/>
      <c r="G7" s="6"/>
      <c r="H7" s="6"/>
      <c r="I7" s="62"/>
      <c r="J7" s="6"/>
      <c r="K7" s="6"/>
      <c r="L7" s="6"/>
      <c r="M7" s="6"/>
      <c r="N7" s="6"/>
      <c r="O7" s="6"/>
      <c r="P7" s="6"/>
      <c r="Q7" s="66"/>
      <c r="R7" s="6"/>
      <c r="S7" s="6"/>
      <c r="T7" s="6"/>
      <c r="U7" s="64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6"/>
      <c r="AK7" s="6"/>
      <c r="AL7" s="6"/>
      <c r="AM7" s="66"/>
      <c r="AN7" s="66"/>
      <c r="AO7" s="66"/>
    </row>
    <row r="8" spans="1:53" ht="12.75">
      <c r="A8" s="64"/>
      <c r="B8" s="64"/>
      <c r="C8" s="64"/>
      <c r="D8" s="6"/>
      <c r="E8" s="6"/>
      <c r="F8" s="6"/>
      <c r="G8" s="6"/>
      <c r="H8" s="6"/>
      <c r="I8" s="62"/>
      <c r="J8" s="6"/>
      <c r="K8" s="6"/>
      <c r="L8" s="6"/>
      <c r="M8" s="6"/>
      <c r="N8" s="6"/>
      <c r="O8" s="6"/>
      <c r="P8" s="6"/>
      <c r="Q8" s="66"/>
      <c r="R8" s="6"/>
      <c r="S8" s="6"/>
      <c r="T8" s="6"/>
      <c r="U8" s="64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6"/>
      <c r="AK8" s="6"/>
      <c r="AL8" s="6"/>
      <c r="AM8" s="66"/>
      <c r="AN8" s="66"/>
      <c r="AO8" s="66"/>
    </row>
    <row r="9" spans="1:53" ht="12.75">
      <c r="A9" s="64"/>
      <c r="B9" s="64"/>
      <c r="C9" s="64"/>
      <c r="D9" s="6"/>
      <c r="E9" s="6"/>
      <c r="F9" s="6"/>
      <c r="G9" s="6"/>
      <c r="H9" s="6"/>
      <c r="I9" s="62"/>
      <c r="J9" s="6"/>
      <c r="K9" s="6"/>
      <c r="L9" s="6"/>
      <c r="M9" s="6"/>
      <c r="N9" s="6"/>
      <c r="O9" s="6"/>
      <c r="P9" s="6"/>
      <c r="Q9" s="67"/>
      <c r="R9" s="6"/>
      <c r="S9" s="6"/>
      <c r="T9" s="6"/>
      <c r="U9" s="64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7"/>
      <c r="AK9" s="6"/>
      <c r="AL9" s="6"/>
      <c r="AM9" s="67"/>
      <c r="AN9" s="67"/>
      <c r="AO9" s="67"/>
    </row>
    <row r="10" spans="1:53" ht="12.75">
      <c r="A10" s="86"/>
      <c r="B10" s="74"/>
      <c r="C10" s="118"/>
      <c r="D10" s="118"/>
      <c r="E10" s="118"/>
      <c r="F10" s="118"/>
      <c r="G10" s="118"/>
      <c r="H10" s="125"/>
      <c r="I10" s="126"/>
      <c r="J10" s="120"/>
      <c r="K10" s="120"/>
      <c r="L10" s="120"/>
      <c r="M10" s="120"/>
      <c r="N10" s="120"/>
      <c r="O10" s="127"/>
      <c r="P10" s="120"/>
      <c r="Q10" s="120"/>
      <c r="R10" s="119"/>
      <c r="S10" s="105"/>
      <c r="T10" s="120"/>
      <c r="U10" s="121"/>
      <c r="V10" s="122"/>
      <c r="W10" s="120"/>
      <c r="X10" s="120"/>
      <c r="Y10" s="120"/>
      <c r="Z10" s="120"/>
      <c r="AA10" s="123"/>
      <c r="AB10" s="120"/>
      <c r="AC10" s="87"/>
      <c r="AD10" s="87"/>
      <c r="AE10" s="124"/>
      <c r="AF10" s="87"/>
      <c r="AG10" s="87"/>
      <c r="AH10" s="87"/>
      <c r="AI10" s="87"/>
      <c r="AJ10" s="65"/>
      <c r="AK10" s="87"/>
      <c r="AL10" s="87"/>
      <c r="AM10" s="87"/>
      <c r="AN10" s="87"/>
      <c r="AO10" s="65"/>
    </row>
    <row r="11" spans="1:53">
      <c r="A11" s="79"/>
      <c r="B11" s="64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64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66"/>
      <c r="AK11" s="79"/>
      <c r="AL11" s="79"/>
      <c r="AM11" s="79"/>
      <c r="AN11" s="79"/>
      <c r="AO11" s="66"/>
    </row>
    <row r="12" spans="1:53">
      <c r="A12" s="79"/>
      <c r="B12" s="64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64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66"/>
      <c r="AK12" s="79"/>
      <c r="AL12" s="79"/>
      <c r="AM12" s="79"/>
      <c r="AN12" s="79"/>
      <c r="AO12" s="66"/>
    </row>
    <row r="13" spans="1:53">
      <c r="A13" s="80"/>
      <c r="B13" s="64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106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67"/>
      <c r="AK13" s="80"/>
      <c r="AL13" s="80"/>
      <c r="AM13" s="80"/>
      <c r="AN13" s="80"/>
      <c r="AO13" s="67"/>
    </row>
    <row r="14" spans="1:53" ht="15.75" customHeight="1">
      <c r="A14" s="3" t="s">
        <v>3</v>
      </c>
      <c r="B14" s="3" t="s">
        <v>96</v>
      </c>
      <c r="C14" s="3" t="s">
        <v>10</v>
      </c>
      <c r="D14" s="3" t="s">
        <v>11</v>
      </c>
      <c r="E14" s="3" t="s">
        <v>12</v>
      </c>
      <c r="F14" s="3" t="s">
        <v>97</v>
      </c>
      <c r="G14" s="3" t="s">
        <v>14</v>
      </c>
      <c r="H14" s="3" t="s">
        <v>98</v>
      </c>
      <c r="I14" s="3" t="s">
        <v>99</v>
      </c>
      <c r="J14" s="3" t="s">
        <v>100</v>
      </c>
      <c r="K14" s="3" t="s">
        <v>101</v>
      </c>
      <c r="L14" s="3" t="s">
        <v>102</v>
      </c>
      <c r="M14" s="3" t="s">
        <v>103</v>
      </c>
      <c r="N14" s="3" t="s">
        <v>29</v>
      </c>
      <c r="O14" s="3" t="s">
        <v>30</v>
      </c>
      <c r="P14" s="3" t="s">
        <v>104</v>
      </c>
      <c r="Q14" s="3" t="s">
        <v>105</v>
      </c>
      <c r="R14" s="3" t="s">
        <v>33</v>
      </c>
      <c r="S14" s="3" t="s">
        <v>106</v>
      </c>
      <c r="T14" s="3" t="s">
        <v>35</v>
      </c>
      <c r="U14" s="3" t="s">
        <v>107</v>
      </c>
      <c r="V14" s="3" t="s">
        <v>37</v>
      </c>
      <c r="W14" s="3" t="s">
        <v>38</v>
      </c>
      <c r="X14" s="3" t="s">
        <v>39</v>
      </c>
      <c r="Y14" s="3" t="s">
        <v>40</v>
      </c>
      <c r="Z14" s="3" t="s">
        <v>41</v>
      </c>
      <c r="AA14" s="3" t="s">
        <v>42</v>
      </c>
      <c r="AB14" s="3" t="s">
        <v>43</v>
      </c>
      <c r="AC14" s="3" t="s">
        <v>44</v>
      </c>
      <c r="AD14" s="3" t="s">
        <v>45</v>
      </c>
      <c r="AE14" s="3" t="s">
        <v>46</v>
      </c>
      <c r="AF14" s="3" t="s">
        <v>108</v>
      </c>
      <c r="AG14" s="3" t="s">
        <v>48</v>
      </c>
      <c r="AH14" s="3" t="s">
        <v>109</v>
      </c>
      <c r="AI14" s="3" t="s">
        <v>50</v>
      </c>
      <c r="AJ14" s="3" t="s">
        <v>51</v>
      </c>
      <c r="AK14" s="3" t="s">
        <v>110</v>
      </c>
      <c r="AL14" s="3" t="s">
        <v>53</v>
      </c>
      <c r="AM14" s="3" t="s">
        <v>54</v>
      </c>
      <c r="AN14" s="3" t="s">
        <v>111</v>
      </c>
      <c r="AO14" s="3" t="s">
        <v>112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>
      <c r="A15" s="16" t="s">
        <v>56</v>
      </c>
      <c r="B15" s="17"/>
      <c r="C15" s="17">
        <v>0.27777777777777779</v>
      </c>
      <c r="D15" s="17">
        <v>0.25208333333333333</v>
      </c>
      <c r="E15" s="17">
        <v>0.24374999999999999</v>
      </c>
      <c r="F15" s="17">
        <v>0.28720238095238093</v>
      </c>
      <c r="G15" s="17">
        <v>0.24702380952380953</v>
      </c>
      <c r="H15" s="17">
        <v>0.28125</v>
      </c>
      <c r="I15" s="17">
        <v>0.26190476190476192</v>
      </c>
      <c r="J15" s="17">
        <v>0.28993055555555558</v>
      </c>
      <c r="K15" s="44" t="s">
        <v>113</v>
      </c>
      <c r="L15" s="44" t="s">
        <v>113</v>
      </c>
      <c r="M15" s="44" t="s">
        <v>113</v>
      </c>
      <c r="N15" s="44" t="s">
        <v>113</v>
      </c>
      <c r="O15" s="17">
        <v>0.2638888888888889</v>
      </c>
      <c r="P15" s="17">
        <v>0.22916666666666666</v>
      </c>
      <c r="Q15" s="17">
        <v>0.26002971768202082</v>
      </c>
      <c r="R15" s="17">
        <v>0.27430555555555558</v>
      </c>
      <c r="S15" s="17">
        <v>0.22569444444444445</v>
      </c>
      <c r="T15" s="17"/>
      <c r="U15" s="17">
        <v>0.2734375</v>
      </c>
      <c r="V15" s="17">
        <v>0.21458333333333332</v>
      </c>
      <c r="W15" s="17">
        <v>0.26458333333333334</v>
      </c>
      <c r="X15" s="17">
        <v>0.2767857142857143</v>
      </c>
      <c r="Y15" s="17">
        <v>0.26339285714285715</v>
      </c>
      <c r="Z15" s="17">
        <v>0.24305555555555555</v>
      </c>
      <c r="AA15" s="17">
        <v>0.25595238095238093</v>
      </c>
      <c r="AB15" s="17"/>
      <c r="AC15" s="17">
        <v>0.2421875</v>
      </c>
      <c r="AD15" s="17">
        <v>0.26339285714285715</v>
      </c>
      <c r="AE15" s="17">
        <v>0.25744047619047616</v>
      </c>
      <c r="AF15" s="17">
        <v>0.22916666666666666</v>
      </c>
      <c r="AG15" s="17">
        <v>0.23065476190476192</v>
      </c>
      <c r="AH15" s="17">
        <v>0.27232142857142855</v>
      </c>
      <c r="AI15" s="17">
        <v>0.24553571428571427</v>
      </c>
      <c r="AJ15" s="17">
        <v>0.24305555555555555</v>
      </c>
      <c r="AK15" s="17">
        <v>0.26215277777777779</v>
      </c>
      <c r="AL15" s="17">
        <v>0.30902777777777779</v>
      </c>
      <c r="AM15" s="17">
        <v>0.26874999999999999</v>
      </c>
      <c r="AN15" s="17">
        <v>0.26190476190476192</v>
      </c>
      <c r="AO15" s="18">
        <v>0.27604166666666669</v>
      </c>
    </row>
    <row r="16" spans="1:53">
      <c r="A16" s="23" t="s">
        <v>57</v>
      </c>
      <c r="B16" s="17"/>
      <c r="C16" s="17">
        <v>1.7361111111111112E-2</v>
      </c>
      <c r="D16" s="17">
        <v>0.10416666666666667</v>
      </c>
      <c r="E16" s="17">
        <v>7.2916666666666671E-2</v>
      </c>
      <c r="F16" s="17">
        <v>8.3333333333333329E-2</v>
      </c>
      <c r="G16" s="17">
        <v>5.5059523809523808E-2</v>
      </c>
      <c r="H16" s="17">
        <v>1.9345238095238096E-2</v>
      </c>
      <c r="I16" s="17">
        <v>0</v>
      </c>
      <c r="J16" s="17">
        <v>0</v>
      </c>
      <c r="K16" s="44" t="s">
        <v>113</v>
      </c>
      <c r="L16" s="44" t="s">
        <v>113</v>
      </c>
      <c r="M16" s="44" t="s">
        <v>113</v>
      </c>
      <c r="N16" s="44" t="s">
        <v>113</v>
      </c>
      <c r="O16" s="17">
        <v>8.8541666666666671E-2</v>
      </c>
      <c r="P16" s="17">
        <v>3.6458333333333336E-2</v>
      </c>
      <c r="Q16" s="17">
        <v>4.3090638930163447E-2</v>
      </c>
      <c r="R16" s="17">
        <v>1.0416666666666666E-2</v>
      </c>
      <c r="S16" s="17">
        <v>1.0416666666666666E-2</v>
      </c>
      <c r="T16" s="17"/>
      <c r="U16" s="17">
        <v>0.1015625</v>
      </c>
      <c r="V16" s="17">
        <v>0.1</v>
      </c>
      <c r="W16" s="17">
        <v>7.4999999999999997E-2</v>
      </c>
      <c r="X16" s="17">
        <v>6.101190476190476E-2</v>
      </c>
      <c r="Y16" s="17">
        <v>0.12351190476190477</v>
      </c>
      <c r="Z16" s="17">
        <v>6.4236111111111105E-2</v>
      </c>
      <c r="AA16" s="17">
        <v>2.6785714285714284E-2</v>
      </c>
      <c r="AB16" s="17"/>
      <c r="AC16" s="17">
        <v>2.8645833333333332E-2</v>
      </c>
      <c r="AD16" s="17">
        <v>6.3988095238095233E-2</v>
      </c>
      <c r="AE16" s="17">
        <v>0.10119047619047619</v>
      </c>
      <c r="AF16" s="17">
        <v>7.6388888888888895E-2</v>
      </c>
      <c r="AG16" s="17">
        <v>6.9940476190476192E-2</v>
      </c>
      <c r="AH16" s="17">
        <v>2.8273809523809524E-2</v>
      </c>
      <c r="AI16" s="17">
        <v>1.488095238095238E-2</v>
      </c>
      <c r="AJ16" s="17">
        <v>3.472222222222222E-3</v>
      </c>
      <c r="AK16" s="17">
        <v>0</v>
      </c>
      <c r="AL16" s="17">
        <v>0</v>
      </c>
      <c r="AM16" s="17">
        <v>8.1250000000000003E-2</v>
      </c>
      <c r="AN16" s="17">
        <v>5.2083333333333336E-2</v>
      </c>
      <c r="AO16" s="18">
        <v>0.1328125</v>
      </c>
    </row>
    <row r="17" spans="1:41">
      <c r="A17" s="27" t="s">
        <v>58</v>
      </c>
      <c r="B17" s="17"/>
      <c r="C17" s="17">
        <v>9.0277777777777776E-2</v>
      </c>
      <c r="D17" s="17">
        <v>7.0833333333333331E-2</v>
      </c>
      <c r="E17" s="17">
        <v>0.10625</v>
      </c>
      <c r="F17" s="17">
        <v>8.7797619047619041E-2</v>
      </c>
      <c r="G17" s="17">
        <v>8.6309523809523808E-2</v>
      </c>
      <c r="H17" s="17">
        <v>5.0595238095238096E-2</v>
      </c>
      <c r="I17" s="17">
        <v>4.9107142857142856E-2</v>
      </c>
      <c r="J17" s="17">
        <v>0</v>
      </c>
      <c r="K17" s="44" t="s">
        <v>113</v>
      </c>
      <c r="L17" s="44" t="s">
        <v>113</v>
      </c>
      <c r="M17" s="44" t="s">
        <v>113</v>
      </c>
      <c r="N17" s="44" t="s">
        <v>113</v>
      </c>
      <c r="O17" s="17">
        <v>8.3333333333333329E-2</v>
      </c>
      <c r="P17" s="17">
        <v>5.5555555555555552E-2</v>
      </c>
      <c r="Q17" s="17">
        <v>5.0520059435364043E-2</v>
      </c>
      <c r="R17" s="17">
        <v>0</v>
      </c>
      <c r="S17" s="17">
        <v>0</v>
      </c>
      <c r="T17" s="17"/>
      <c r="U17" s="17">
        <v>4.4270833333333336E-2</v>
      </c>
      <c r="V17" s="17">
        <v>6.0416666666666667E-2</v>
      </c>
      <c r="W17" s="17">
        <v>6.6666666666666666E-2</v>
      </c>
      <c r="X17" s="17">
        <v>4.4642857142857144E-2</v>
      </c>
      <c r="Y17" s="17">
        <v>7.1428571428571425E-2</v>
      </c>
      <c r="Z17" s="17">
        <v>4.5138888888888888E-2</v>
      </c>
      <c r="AA17" s="17">
        <v>5.5059523809523808E-2</v>
      </c>
      <c r="AB17" s="17"/>
      <c r="AC17" s="17">
        <v>1.5625E-2</v>
      </c>
      <c r="AD17" s="17">
        <v>5.2083333333333336E-2</v>
      </c>
      <c r="AE17" s="17">
        <v>6.25E-2</v>
      </c>
      <c r="AF17" s="17">
        <v>7.9861111111111105E-2</v>
      </c>
      <c r="AG17" s="17">
        <v>8.3333333333333329E-2</v>
      </c>
      <c r="AH17" s="17">
        <v>5.2083333333333336E-2</v>
      </c>
      <c r="AI17" s="17">
        <v>1.7857142857142856E-2</v>
      </c>
      <c r="AJ17" s="17">
        <v>7.6388888888888895E-2</v>
      </c>
      <c r="AK17" s="17">
        <v>0</v>
      </c>
      <c r="AL17" s="17">
        <v>0</v>
      </c>
      <c r="AM17" s="17">
        <v>4.583333333333333E-2</v>
      </c>
      <c r="AN17" s="17">
        <v>3.4226190476190479E-2</v>
      </c>
      <c r="AO17" s="18">
        <v>5.2083333333333336E-2</v>
      </c>
    </row>
    <row r="18" spans="1:41">
      <c r="A18" s="27" t="s">
        <v>59</v>
      </c>
      <c r="B18" s="17"/>
      <c r="C18" s="17">
        <v>4.1666666666666664E-2</v>
      </c>
      <c r="D18" s="17">
        <v>3.7499999999999999E-2</v>
      </c>
      <c r="E18" s="17">
        <v>4.1666666666666664E-2</v>
      </c>
      <c r="F18" s="17">
        <v>3.7202380952380952E-2</v>
      </c>
      <c r="G18" s="17">
        <v>3.8690476190476192E-2</v>
      </c>
      <c r="H18" s="17">
        <v>4.0178571428571432E-2</v>
      </c>
      <c r="I18" s="17">
        <v>4.0178571428571432E-2</v>
      </c>
      <c r="J18" s="17">
        <v>3.9930555555555552E-2</v>
      </c>
      <c r="K18" s="44" t="s">
        <v>113</v>
      </c>
      <c r="L18" s="44" t="s">
        <v>113</v>
      </c>
      <c r="M18" s="44" t="s">
        <v>113</v>
      </c>
      <c r="N18" s="44" t="s">
        <v>113</v>
      </c>
      <c r="O18" s="17">
        <v>4.1666666666666664E-2</v>
      </c>
      <c r="P18" s="17">
        <v>4.8611111111111112E-2</v>
      </c>
      <c r="Q18" s="17">
        <v>3.8632986627043092E-2</v>
      </c>
      <c r="R18" s="17">
        <v>3.125E-2</v>
      </c>
      <c r="S18" s="17">
        <v>4.8611111111111112E-2</v>
      </c>
      <c r="T18" s="17"/>
      <c r="U18" s="17">
        <v>3.90625E-2</v>
      </c>
      <c r="V18" s="17">
        <v>3.7499999999999999E-2</v>
      </c>
      <c r="W18" s="17">
        <v>5.4166666666666669E-2</v>
      </c>
      <c r="X18" s="17">
        <v>4.0178571428571432E-2</v>
      </c>
      <c r="Y18" s="17">
        <v>4.3154761904761904E-2</v>
      </c>
      <c r="Z18" s="17">
        <v>4.1666666666666664E-2</v>
      </c>
      <c r="AA18" s="17">
        <v>4.7619047619047616E-2</v>
      </c>
      <c r="AB18" s="17"/>
      <c r="AC18" s="17">
        <v>3.90625E-2</v>
      </c>
      <c r="AD18" s="17">
        <v>4.4642857142857144E-2</v>
      </c>
      <c r="AE18" s="17">
        <v>3.4226190476190479E-2</v>
      </c>
      <c r="AF18" s="17">
        <v>4.5138888888888888E-2</v>
      </c>
      <c r="AG18" s="17">
        <v>3.8690476190476192E-2</v>
      </c>
      <c r="AH18" s="17">
        <v>4.0178571428571432E-2</v>
      </c>
      <c r="AI18" s="17">
        <v>4.0178571428571432E-2</v>
      </c>
      <c r="AJ18" s="17">
        <v>2.7777777777777776E-2</v>
      </c>
      <c r="AK18" s="17">
        <v>3.6458333333333336E-2</v>
      </c>
      <c r="AL18" s="17">
        <v>3.125E-2</v>
      </c>
      <c r="AM18" s="17">
        <v>4.1666666666666664E-2</v>
      </c>
      <c r="AN18" s="17">
        <v>5.0595238095238096E-2</v>
      </c>
      <c r="AO18" s="18">
        <v>3.90625E-2</v>
      </c>
    </row>
    <row r="19" spans="1:41">
      <c r="A19" s="27" t="s">
        <v>60</v>
      </c>
      <c r="B19" s="17"/>
      <c r="C19" s="17">
        <v>2.0833333333333332E-2</v>
      </c>
      <c r="D19" s="17">
        <v>1.8749999999999999E-2</v>
      </c>
      <c r="E19" s="17">
        <v>2.7083333333333334E-2</v>
      </c>
      <c r="F19" s="17">
        <v>2.2321428571428572E-2</v>
      </c>
      <c r="G19" s="17">
        <v>2.5297619047619048E-2</v>
      </c>
      <c r="H19" s="17">
        <v>2.976190476190476E-2</v>
      </c>
      <c r="I19" s="17">
        <v>2.8273809523809524E-2</v>
      </c>
      <c r="J19" s="17">
        <v>2.6041666666666668E-2</v>
      </c>
      <c r="K19" s="44" t="s">
        <v>113</v>
      </c>
      <c r="L19" s="44" t="s">
        <v>113</v>
      </c>
      <c r="M19" s="44" t="s">
        <v>113</v>
      </c>
      <c r="N19" s="44" t="s">
        <v>113</v>
      </c>
      <c r="O19" s="17">
        <v>3.125E-2</v>
      </c>
      <c r="P19" s="17">
        <v>2.7777777777777776E-2</v>
      </c>
      <c r="Q19" s="17">
        <v>2.9717682020802376E-2</v>
      </c>
      <c r="R19" s="17">
        <v>3.4722222222222224E-2</v>
      </c>
      <c r="S19" s="17">
        <v>3.4722222222222224E-2</v>
      </c>
      <c r="T19" s="17"/>
      <c r="U19" s="17">
        <v>3.3854166666666664E-2</v>
      </c>
      <c r="V19" s="17">
        <v>2.7083333333333334E-2</v>
      </c>
      <c r="W19" s="17">
        <v>3.5416666666666666E-2</v>
      </c>
      <c r="X19" s="17">
        <v>2.5297619047619048E-2</v>
      </c>
      <c r="Y19" s="17">
        <v>3.4226190476190479E-2</v>
      </c>
      <c r="Z19" s="17">
        <v>2.7777777777777776E-2</v>
      </c>
      <c r="AA19" s="17">
        <v>2.6785714285714284E-2</v>
      </c>
      <c r="AB19" s="17"/>
      <c r="AC19" s="17">
        <v>2.8645833333333332E-2</v>
      </c>
      <c r="AD19" s="17">
        <v>2.3809523809523808E-2</v>
      </c>
      <c r="AE19" s="17">
        <v>2.8273809523809524E-2</v>
      </c>
      <c r="AF19" s="17">
        <v>2.2569444444444444E-2</v>
      </c>
      <c r="AG19" s="17">
        <v>2.8273809523809524E-2</v>
      </c>
      <c r="AH19" s="17">
        <v>2.2321428571428572E-2</v>
      </c>
      <c r="AI19" s="17">
        <v>2.5297619047619048E-2</v>
      </c>
      <c r="AJ19" s="17">
        <v>2.4305555555555556E-2</v>
      </c>
      <c r="AK19" s="17">
        <v>2.4305555555555556E-2</v>
      </c>
      <c r="AL19" s="17">
        <v>2.7777777777777776E-2</v>
      </c>
      <c r="AM19" s="17">
        <v>2.2916666666666665E-2</v>
      </c>
      <c r="AN19" s="17">
        <v>3.125E-2</v>
      </c>
      <c r="AO19" s="18">
        <v>2.8645833333333332E-2</v>
      </c>
    </row>
    <row r="20" spans="1:41">
      <c r="A20" s="30" t="s">
        <v>61</v>
      </c>
      <c r="B20" s="17"/>
      <c r="C20" s="17">
        <v>6.5972222222222224E-2</v>
      </c>
      <c r="D20" s="17">
        <v>7.4999999999999997E-2</v>
      </c>
      <c r="E20" s="17">
        <v>1.8749999999999999E-2</v>
      </c>
      <c r="F20" s="17">
        <v>3.4226190476190479E-2</v>
      </c>
      <c r="G20" s="17">
        <v>2.3809523809523808E-2</v>
      </c>
      <c r="H20" s="17">
        <v>0.11011904761904762</v>
      </c>
      <c r="I20" s="17">
        <v>0.13244047619047619</v>
      </c>
      <c r="J20" s="17">
        <v>0.14409722222222221</v>
      </c>
      <c r="K20" s="44" t="s">
        <v>113</v>
      </c>
      <c r="L20" s="44" t="s">
        <v>113</v>
      </c>
      <c r="M20" s="44" t="s">
        <v>113</v>
      </c>
      <c r="N20" s="44" t="s">
        <v>113</v>
      </c>
      <c r="O20" s="17">
        <v>7.9861111111111105E-2</v>
      </c>
      <c r="P20" s="17">
        <v>0.13715277777777779</v>
      </c>
      <c r="Q20" s="17">
        <v>9.5096582466567603E-2</v>
      </c>
      <c r="R20" s="17">
        <v>0.1111111111111111</v>
      </c>
      <c r="S20" s="17">
        <v>1.0416666666666666E-2</v>
      </c>
      <c r="T20" s="17"/>
      <c r="U20" s="17">
        <v>4.9479166666666664E-2</v>
      </c>
      <c r="V20" s="17">
        <v>9.7916666666666666E-2</v>
      </c>
      <c r="W20" s="17">
        <v>6.0416666666666667E-2</v>
      </c>
      <c r="X20" s="17">
        <v>4.1666666666666664E-2</v>
      </c>
      <c r="Y20" s="17">
        <v>4.1666666666666664E-2</v>
      </c>
      <c r="Z20" s="17">
        <v>0.10243055555555555</v>
      </c>
      <c r="AA20" s="17">
        <v>7.8869047619047616E-2</v>
      </c>
      <c r="AB20" s="17"/>
      <c r="AC20" s="17">
        <v>0.13020833333333334</v>
      </c>
      <c r="AD20" s="17">
        <v>0.17559523809523808</v>
      </c>
      <c r="AE20" s="17">
        <v>0.15476190476190477</v>
      </c>
      <c r="AF20" s="17">
        <v>0.18055555555555555</v>
      </c>
      <c r="AG20" s="17">
        <v>0.12797619047619047</v>
      </c>
      <c r="AH20" s="17">
        <v>0.11607142857142858</v>
      </c>
      <c r="AI20" s="17">
        <v>0.13095238095238096</v>
      </c>
      <c r="AJ20" s="17">
        <v>7.2916666666666671E-2</v>
      </c>
      <c r="AK20" s="17">
        <v>0.13541666666666666</v>
      </c>
      <c r="AL20" s="17">
        <v>0.2638888888888889</v>
      </c>
      <c r="AM20" s="17">
        <v>0.14166666666666666</v>
      </c>
      <c r="AN20" s="17">
        <v>0.11011904761904762</v>
      </c>
      <c r="AO20" s="18">
        <v>6.25E-2</v>
      </c>
    </row>
    <row r="21" spans="1:41">
      <c r="A21" s="27" t="s">
        <v>62</v>
      </c>
      <c r="B21" s="17"/>
      <c r="C21" s="17">
        <v>3.125E-2</v>
      </c>
      <c r="D21" s="17">
        <v>3.9583333333333331E-2</v>
      </c>
      <c r="E21" s="17">
        <v>5.8333333333333334E-2</v>
      </c>
      <c r="F21" s="17">
        <v>6.5476190476190479E-2</v>
      </c>
      <c r="G21" s="17">
        <v>4.3154761904761904E-2</v>
      </c>
      <c r="H21" s="17">
        <v>5.8035714285714288E-2</v>
      </c>
      <c r="I21" s="17">
        <v>9.8214285714285712E-2</v>
      </c>
      <c r="J21" s="17">
        <v>8.5069444444444448E-2</v>
      </c>
      <c r="K21" s="44" t="s">
        <v>113</v>
      </c>
      <c r="L21" s="44" t="s">
        <v>113</v>
      </c>
      <c r="M21" s="44" t="s">
        <v>113</v>
      </c>
      <c r="N21" s="44" t="s">
        <v>113</v>
      </c>
      <c r="O21" s="17">
        <v>0.109375</v>
      </c>
      <c r="P21" s="17">
        <v>9.2013888888888895E-2</v>
      </c>
      <c r="Q21" s="17">
        <v>0.14858841010401189</v>
      </c>
      <c r="R21" s="17">
        <v>0.11458333333333333</v>
      </c>
      <c r="S21" s="17">
        <v>0.125</v>
      </c>
      <c r="T21" s="17"/>
      <c r="U21" s="17">
        <v>4.1666666666666664E-2</v>
      </c>
      <c r="V21" s="17">
        <v>0.15416666666666667</v>
      </c>
      <c r="W21" s="17">
        <v>0.11041666666666666</v>
      </c>
      <c r="X21" s="17">
        <v>0.14583333333333334</v>
      </c>
      <c r="Y21" s="17">
        <v>4.7619047619047616E-2</v>
      </c>
      <c r="Z21" s="17">
        <v>9.7222222222222224E-2</v>
      </c>
      <c r="AA21" s="17">
        <v>0.10119047619047619</v>
      </c>
      <c r="AB21" s="17"/>
      <c r="AC21" s="17">
        <v>0.13541666666666666</v>
      </c>
      <c r="AD21" s="17">
        <v>4.1666666666666664E-2</v>
      </c>
      <c r="AE21" s="17">
        <v>4.6130952380952384E-2</v>
      </c>
      <c r="AF21" s="17">
        <v>4.8611111111111112E-2</v>
      </c>
      <c r="AG21" s="17">
        <v>6.9940476190476192E-2</v>
      </c>
      <c r="AH21" s="17">
        <v>9.0773809523809521E-2</v>
      </c>
      <c r="AI21" s="17">
        <v>0.12648809523809523</v>
      </c>
      <c r="AJ21" s="17">
        <v>0.1423611111111111</v>
      </c>
      <c r="AK21" s="17">
        <v>0.1232638888888889</v>
      </c>
      <c r="AL21" s="17">
        <v>9.7222222222222224E-2</v>
      </c>
      <c r="AM21" s="17">
        <v>4.791666666666667E-2</v>
      </c>
      <c r="AN21" s="17">
        <v>4.4642857142857144E-2</v>
      </c>
      <c r="AO21" s="18">
        <v>3.125E-2</v>
      </c>
    </row>
    <row r="22" spans="1:41" ht="15">
      <c r="A22" s="30" t="s">
        <v>63</v>
      </c>
      <c r="B22" s="17"/>
      <c r="C22" s="17">
        <v>0.3298611111111111</v>
      </c>
      <c r="D22" s="17">
        <v>0.24583333333333332</v>
      </c>
      <c r="E22" s="17">
        <v>0.27083333333333331</v>
      </c>
      <c r="F22" s="17">
        <v>0.27083333333333331</v>
      </c>
      <c r="G22" s="17">
        <v>0.3169642857142857</v>
      </c>
      <c r="H22" s="17">
        <v>0.23809523809523808</v>
      </c>
      <c r="I22" s="17">
        <v>0.19940476190476192</v>
      </c>
      <c r="J22" s="17">
        <v>0.2673611111111111</v>
      </c>
      <c r="K22" s="44" t="s">
        <v>113</v>
      </c>
      <c r="L22" s="44" t="s">
        <v>113</v>
      </c>
      <c r="M22" s="44" t="s">
        <v>113</v>
      </c>
      <c r="N22" s="44" t="s">
        <v>113</v>
      </c>
      <c r="O22" s="17">
        <v>0.1892361111111111</v>
      </c>
      <c r="P22" s="17">
        <v>0.1875</v>
      </c>
      <c r="Q22" s="17">
        <v>0.20356612184249628</v>
      </c>
      <c r="R22" s="17">
        <v>0.19097222222222221</v>
      </c>
      <c r="S22" s="17">
        <v>0.19097222222222221</v>
      </c>
      <c r="T22" s="17"/>
      <c r="U22" s="17">
        <v>0.2265625</v>
      </c>
      <c r="V22" s="17">
        <v>0.2</v>
      </c>
      <c r="W22" s="17">
        <v>0.19791666666666666</v>
      </c>
      <c r="X22" s="17">
        <v>0.22470238095238096</v>
      </c>
      <c r="Y22" s="17">
        <v>0.19047619047619047</v>
      </c>
      <c r="Z22" s="17">
        <v>0.2482638888888889</v>
      </c>
      <c r="AA22" s="17">
        <v>0.24851190476190477</v>
      </c>
      <c r="AB22" s="17"/>
      <c r="AC22" s="17">
        <v>0.19010416666666666</v>
      </c>
      <c r="AD22" s="17">
        <v>0.21279761904761904</v>
      </c>
      <c r="AE22" s="17">
        <v>0.18005952380952381</v>
      </c>
      <c r="AF22" s="17">
        <v>0.17708333333333334</v>
      </c>
      <c r="AG22" s="17">
        <v>0.20982142857142858</v>
      </c>
      <c r="AH22" s="17">
        <v>0.25148809523809523</v>
      </c>
      <c r="AI22" s="17">
        <v>0.28422619047619047</v>
      </c>
      <c r="AJ22" s="17">
        <v>0.1701388888888889</v>
      </c>
      <c r="AK22" s="17">
        <v>0.30902777777777779</v>
      </c>
      <c r="AL22" s="17">
        <v>0.22222222222222221</v>
      </c>
      <c r="AM22" s="17">
        <v>0.18958333333333333</v>
      </c>
      <c r="AN22" s="17">
        <v>0.26488095238095238</v>
      </c>
      <c r="AO22" s="18">
        <v>0.18489583333333334</v>
      </c>
    </row>
    <row r="23" spans="1:41" ht="15">
      <c r="A23" s="23" t="s">
        <v>64</v>
      </c>
      <c r="B23" s="17"/>
      <c r="C23" s="17">
        <v>2.4305555555555556E-2</v>
      </c>
      <c r="D23" s="17">
        <v>3.7499999999999999E-2</v>
      </c>
      <c r="E23" s="17">
        <v>6.2500000000000003E-3</v>
      </c>
      <c r="F23" s="17">
        <v>7.4404761904761901E-3</v>
      </c>
      <c r="G23" s="17">
        <v>3.125E-2</v>
      </c>
      <c r="H23" s="17">
        <v>8.9285714285714281E-3</v>
      </c>
      <c r="I23" s="17">
        <v>2.5297619047619048E-2</v>
      </c>
      <c r="J23" s="17">
        <v>3.6458333333333336E-2</v>
      </c>
      <c r="K23" s="44" t="s">
        <v>113</v>
      </c>
      <c r="L23" s="44" t="s">
        <v>113</v>
      </c>
      <c r="M23" s="44" t="s">
        <v>113</v>
      </c>
      <c r="N23" s="44" t="s">
        <v>113</v>
      </c>
      <c r="O23" s="17">
        <v>3.472222222222222E-3</v>
      </c>
      <c r="P23" s="17">
        <v>2.9513888888888888E-2</v>
      </c>
      <c r="Q23" s="17">
        <v>2.6745913818722138E-2</v>
      </c>
      <c r="R23" s="17">
        <v>5.9027777777777776E-2</v>
      </c>
      <c r="S23" s="17">
        <v>0.16319444444444445</v>
      </c>
      <c r="T23" s="17"/>
      <c r="U23" s="17">
        <v>6.5104166666666671E-2</v>
      </c>
      <c r="V23" s="17">
        <v>3.3333333333333333E-2</v>
      </c>
      <c r="W23" s="17">
        <v>6.2500000000000003E-3</v>
      </c>
      <c r="X23" s="17">
        <v>2.0833333333333332E-2</v>
      </c>
      <c r="Y23" s="17">
        <v>1.0416666666666666E-2</v>
      </c>
      <c r="Z23" s="17">
        <v>3.472222222222222E-3</v>
      </c>
      <c r="AA23" s="17">
        <v>1.9345238095238096E-2</v>
      </c>
      <c r="AB23" s="17"/>
      <c r="AC23" s="17">
        <v>7.5520833333333329E-2</v>
      </c>
      <c r="AD23" s="17">
        <v>1.488095238095238E-3</v>
      </c>
      <c r="AE23" s="17">
        <v>2.976190476190476E-3</v>
      </c>
      <c r="AF23" s="17">
        <v>0</v>
      </c>
      <c r="AG23" s="17">
        <v>2.976190476190476E-3</v>
      </c>
      <c r="AH23" s="17">
        <v>0</v>
      </c>
      <c r="AI23" s="17">
        <v>5.9523809523809521E-3</v>
      </c>
      <c r="AJ23" s="17">
        <v>6.9444444444444441E-3</v>
      </c>
      <c r="AK23" s="17">
        <v>5.208333333333333E-3</v>
      </c>
      <c r="AL23" s="17">
        <v>0</v>
      </c>
      <c r="AM23" s="17">
        <v>6.2500000000000003E-3</v>
      </c>
      <c r="AN23" s="17">
        <v>2.5297619047619048E-2</v>
      </c>
      <c r="AO23" s="18">
        <v>2.6041666666666665E-3</v>
      </c>
    </row>
    <row r="24" spans="1:41" ht="15">
      <c r="A24" s="27" t="s">
        <v>65</v>
      </c>
      <c r="B24" s="17"/>
      <c r="C24" s="17">
        <v>2.0833333333333332E-2</v>
      </c>
      <c r="D24" s="17">
        <v>4.583333333333333E-2</v>
      </c>
      <c r="E24" s="17">
        <v>4.583333333333333E-2</v>
      </c>
      <c r="F24" s="17">
        <v>1.0416666666666666E-2</v>
      </c>
      <c r="G24" s="17">
        <v>3.4226190476190479E-2</v>
      </c>
      <c r="H24" s="17">
        <v>6.101190476190476E-2</v>
      </c>
      <c r="I24" s="17">
        <v>3.8690476190476192E-2</v>
      </c>
      <c r="J24" s="17">
        <v>4.8611111111111112E-2</v>
      </c>
      <c r="K24" s="44" t="s">
        <v>113</v>
      </c>
      <c r="L24" s="44" t="s">
        <v>113</v>
      </c>
      <c r="M24" s="44" t="s">
        <v>113</v>
      </c>
      <c r="N24" s="44" t="s">
        <v>113</v>
      </c>
      <c r="O24" s="17">
        <v>1.7361111111111112E-2</v>
      </c>
      <c r="P24" s="17">
        <v>4.3402777777777776E-2</v>
      </c>
      <c r="Q24" s="17">
        <v>4.0118870728083213E-2</v>
      </c>
      <c r="R24" s="17">
        <v>7.9861111111111105E-2</v>
      </c>
      <c r="S24" s="17">
        <v>9.7222222222222224E-2</v>
      </c>
      <c r="T24" s="17"/>
      <c r="U24" s="17">
        <v>2.8645833333333332E-2</v>
      </c>
      <c r="V24" s="17">
        <v>1.0416666666666666E-2</v>
      </c>
      <c r="W24" s="17">
        <v>4.791666666666667E-2</v>
      </c>
      <c r="X24" s="17">
        <v>2.976190476190476E-2</v>
      </c>
      <c r="Y24" s="17">
        <v>4.0178571428571432E-2</v>
      </c>
      <c r="Z24" s="17">
        <v>2.9513888888888888E-2</v>
      </c>
      <c r="AA24" s="17">
        <v>4.1666666666666664E-2</v>
      </c>
      <c r="AB24" s="17"/>
      <c r="AC24" s="17">
        <v>4.4270833333333336E-2</v>
      </c>
      <c r="AD24" s="17">
        <v>3.5714285714285712E-2</v>
      </c>
      <c r="AE24" s="17">
        <v>3.7202380952380952E-2</v>
      </c>
      <c r="AF24" s="17">
        <v>3.9930555555555552E-2</v>
      </c>
      <c r="AG24" s="17">
        <v>4.4642857142857144E-2</v>
      </c>
      <c r="AH24" s="17">
        <v>3.4226190476190479E-2</v>
      </c>
      <c r="AI24" s="17">
        <v>4.9107142857142856E-2</v>
      </c>
      <c r="AJ24" s="17">
        <v>6.5972222222222224E-2</v>
      </c>
      <c r="AK24" s="17">
        <v>2.0833333333333332E-2</v>
      </c>
      <c r="AL24" s="17">
        <v>2.7777777777777776E-2</v>
      </c>
      <c r="AM24" s="17">
        <v>3.5416666666666666E-2</v>
      </c>
      <c r="AN24" s="17">
        <v>2.5297619047619048E-2</v>
      </c>
      <c r="AO24" s="18">
        <v>9.8958333333333329E-2</v>
      </c>
    </row>
    <row r="25" spans="1:41" ht="15">
      <c r="A25" s="27" t="s">
        <v>66</v>
      </c>
      <c r="B25" s="17"/>
      <c r="C25" s="17">
        <v>2.0833333333333332E-2</v>
      </c>
      <c r="D25" s="17">
        <v>1.0416666666666666E-2</v>
      </c>
      <c r="E25" s="17">
        <v>1.8749999999999999E-2</v>
      </c>
      <c r="F25" s="17">
        <v>1.9345238095238096E-2</v>
      </c>
      <c r="G25" s="17">
        <v>1.3392857142857142E-2</v>
      </c>
      <c r="H25" s="17">
        <v>1.636904761904762E-2</v>
      </c>
      <c r="I25" s="17">
        <v>1.488095238095238E-2</v>
      </c>
      <c r="J25" s="17">
        <v>0</v>
      </c>
      <c r="K25" s="44" t="s">
        <v>113</v>
      </c>
      <c r="L25" s="44" t="s">
        <v>113</v>
      </c>
      <c r="M25" s="44" t="s">
        <v>113</v>
      </c>
      <c r="N25" s="44" t="s">
        <v>113</v>
      </c>
      <c r="O25" s="17">
        <v>4.5138888888888888E-2</v>
      </c>
      <c r="P25" s="17">
        <v>3.8194444444444448E-2</v>
      </c>
      <c r="Q25" s="17">
        <v>2.9717682020802376E-2</v>
      </c>
      <c r="R25" s="17">
        <v>5.9027777777777776E-2</v>
      </c>
      <c r="S25" s="17">
        <v>6.9444444444444448E-2</v>
      </c>
      <c r="T25" s="17"/>
      <c r="U25" s="17">
        <v>4.1666666666666664E-2</v>
      </c>
      <c r="V25" s="17">
        <v>1.4583333333333334E-2</v>
      </c>
      <c r="W25" s="17">
        <v>3.7499999999999999E-2</v>
      </c>
      <c r="X25" s="17">
        <v>4.4642857142857144E-2</v>
      </c>
      <c r="Y25" s="17">
        <v>5.9523809523809521E-2</v>
      </c>
      <c r="Z25" s="17">
        <v>4.6875E-2</v>
      </c>
      <c r="AA25" s="17">
        <v>4.0178571428571432E-2</v>
      </c>
      <c r="AB25" s="17"/>
      <c r="AC25" s="17">
        <v>1.5625E-2</v>
      </c>
      <c r="AD25" s="17">
        <v>2.2321428571428572E-2</v>
      </c>
      <c r="AE25" s="17">
        <v>2.3809523809523808E-2</v>
      </c>
      <c r="AF25" s="17">
        <v>2.6041666666666668E-2</v>
      </c>
      <c r="AG25" s="17">
        <v>1.9345238095238096E-2</v>
      </c>
      <c r="AH25" s="17">
        <v>1.9345238095238096E-2</v>
      </c>
      <c r="AI25" s="17">
        <v>5.9523809523809521E-3</v>
      </c>
      <c r="AJ25" s="17">
        <v>2.0833333333333332E-2</v>
      </c>
      <c r="AK25" s="17">
        <v>6.9444444444444441E-3</v>
      </c>
      <c r="AL25" s="17">
        <v>0</v>
      </c>
      <c r="AM25" s="17">
        <v>2.2916666666666665E-2</v>
      </c>
      <c r="AN25" s="17">
        <v>2.6785714285714284E-2</v>
      </c>
      <c r="AO25" s="18">
        <v>2.8645833333333332E-2</v>
      </c>
    </row>
    <row r="26" spans="1:41" ht="15">
      <c r="A26" s="37" t="s">
        <v>67</v>
      </c>
      <c r="B26" s="17"/>
      <c r="C26" s="17">
        <v>0</v>
      </c>
      <c r="D26" s="17">
        <v>0</v>
      </c>
      <c r="E26" s="17">
        <v>0</v>
      </c>
      <c r="F26" s="17">
        <v>0</v>
      </c>
      <c r="G26" s="17">
        <v>1.1904761904761904E-2</v>
      </c>
      <c r="H26" s="17">
        <v>7.4404761904761901E-3</v>
      </c>
      <c r="I26" s="17">
        <v>5.2083333333333336E-2</v>
      </c>
      <c r="J26" s="17">
        <v>1.7361111111111112E-2</v>
      </c>
      <c r="K26" s="44" t="s">
        <v>113</v>
      </c>
      <c r="L26" s="44" t="s">
        <v>113</v>
      </c>
      <c r="M26" s="44" t="s">
        <v>113</v>
      </c>
      <c r="N26" s="44" t="s">
        <v>113</v>
      </c>
      <c r="O26" s="17">
        <v>0</v>
      </c>
      <c r="P26" s="17">
        <v>0</v>
      </c>
      <c r="Q26" s="17">
        <v>2.9717682020802376E-3</v>
      </c>
      <c r="R26" s="17">
        <v>3.472222222222222E-3</v>
      </c>
      <c r="S26" s="17">
        <v>0</v>
      </c>
      <c r="T26" s="17"/>
      <c r="U26" s="17">
        <v>0</v>
      </c>
      <c r="V26" s="17">
        <v>0</v>
      </c>
      <c r="W26" s="17">
        <v>0</v>
      </c>
      <c r="X26" s="17">
        <v>0</v>
      </c>
      <c r="Y26" s="17">
        <v>2.976190476190476E-3</v>
      </c>
      <c r="Z26" s="17">
        <v>3.472222222222222E-3</v>
      </c>
      <c r="AA26" s="17">
        <v>5.9523809523809521E-3</v>
      </c>
      <c r="AB26" s="17"/>
      <c r="AC26" s="17">
        <v>1.5625E-2</v>
      </c>
      <c r="AD26" s="17">
        <v>0</v>
      </c>
      <c r="AE26" s="17">
        <v>1.3392857142857142E-2</v>
      </c>
      <c r="AF26" s="17">
        <v>6.9444444444444441E-3</v>
      </c>
      <c r="AG26" s="17">
        <v>1.3392857142857142E-2</v>
      </c>
      <c r="AH26" s="17">
        <v>1.3392857142857142E-2</v>
      </c>
      <c r="AI26" s="17">
        <v>2.2321428571428572E-2</v>
      </c>
      <c r="AJ26" s="17">
        <v>0</v>
      </c>
      <c r="AK26" s="17">
        <v>4.8611111111111112E-2</v>
      </c>
      <c r="AL26" s="17">
        <v>0</v>
      </c>
      <c r="AM26" s="17">
        <v>3.125E-2</v>
      </c>
      <c r="AN26" s="17">
        <v>1.0416666666666666E-2</v>
      </c>
      <c r="AO26" s="18">
        <v>1.0416666666666666E-2</v>
      </c>
    </row>
    <row r="27" spans="1:41" ht="15">
      <c r="A27" s="27" t="s">
        <v>68</v>
      </c>
      <c r="B27" s="17"/>
      <c r="C27" s="17">
        <v>3.4722222222222224E-2</v>
      </c>
      <c r="D27" s="17">
        <v>2.0833333333333332E-2</v>
      </c>
      <c r="E27" s="17">
        <v>5.2083333333333336E-2</v>
      </c>
      <c r="F27" s="17">
        <v>3.7202380952380952E-2</v>
      </c>
      <c r="G27" s="17">
        <v>3.4226190476190479E-2</v>
      </c>
      <c r="H27" s="17">
        <v>4.4642857142857144E-2</v>
      </c>
      <c r="I27" s="17">
        <v>3.4226190476190479E-2</v>
      </c>
      <c r="J27" s="17">
        <v>6.9444444444444441E-3</v>
      </c>
      <c r="K27" s="44" t="s">
        <v>113</v>
      </c>
      <c r="L27" s="44" t="s">
        <v>113</v>
      </c>
      <c r="M27" s="44" t="s">
        <v>113</v>
      </c>
      <c r="N27" s="44" t="s">
        <v>113</v>
      </c>
      <c r="O27" s="17">
        <v>2.4305555555555556E-2</v>
      </c>
      <c r="P27" s="17">
        <v>5.2083333333333336E-2</v>
      </c>
      <c r="Q27" s="17">
        <v>1.188707280832095E-2</v>
      </c>
      <c r="R27" s="17">
        <v>0</v>
      </c>
      <c r="S27" s="17">
        <v>1.0416666666666666E-2</v>
      </c>
      <c r="T27" s="17"/>
      <c r="U27" s="17">
        <v>3.125E-2</v>
      </c>
      <c r="V27" s="17">
        <v>2.5000000000000001E-2</v>
      </c>
      <c r="W27" s="17">
        <v>2.0833333333333332E-2</v>
      </c>
      <c r="X27" s="17">
        <v>1.7857142857142856E-2</v>
      </c>
      <c r="Y27" s="17">
        <v>4.0178571428571432E-2</v>
      </c>
      <c r="Z27" s="17">
        <v>8.6805555555555559E-3</v>
      </c>
      <c r="AA27" s="17">
        <v>2.2321428571428572E-2</v>
      </c>
      <c r="AB27" s="17"/>
      <c r="AC27" s="17">
        <v>1.3020833333333334E-2</v>
      </c>
      <c r="AD27" s="17">
        <v>3.8690476190476192E-2</v>
      </c>
      <c r="AE27" s="17">
        <v>3.125E-2</v>
      </c>
      <c r="AF27" s="17">
        <v>3.4722222222222224E-2</v>
      </c>
      <c r="AG27" s="17">
        <v>2.8273809523809524E-2</v>
      </c>
      <c r="AH27" s="17">
        <v>2.2321428571428572E-2</v>
      </c>
      <c r="AI27" s="17">
        <v>5.9523809523809521E-3</v>
      </c>
      <c r="AJ27" s="17">
        <v>2.0833333333333332E-2</v>
      </c>
      <c r="AK27" s="17">
        <v>0</v>
      </c>
      <c r="AL27" s="17">
        <v>0</v>
      </c>
      <c r="AM27" s="17">
        <v>2.5000000000000001E-2</v>
      </c>
      <c r="AN27" s="17">
        <v>2.5297619047619048E-2</v>
      </c>
      <c r="AO27" s="18">
        <v>2.6041666666666668E-2</v>
      </c>
    </row>
    <row r="28" spans="1:41" ht="15">
      <c r="A28" s="42" t="s">
        <v>69</v>
      </c>
      <c r="B28" s="18"/>
      <c r="C28" s="18">
        <v>2.4305555555555556E-2</v>
      </c>
      <c r="D28" s="18">
        <v>4.1666666666666664E-2</v>
      </c>
      <c r="E28" s="18">
        <v>3.7499999999999999E-2</v>
      </c>
      <c r="F28" s="18">
        <v>3.7202380952380952E-2</v>
      </c>
      <c r="G28" s="18">
        <v>3.8690476190476192E-2</v>
      </c>
      <c r="H28" s="18">
        <v>3.4226190476190479E-2</v>
      </c>
      <c r="I28" s="18">
        <v>2.5297619047619048E-2</v>
      </c>
      <c r="J28" s="18">
        <v>3.8194444444444448E-2</v>
      </c>
      <c r="K28" s="44" t="s">
        <v>113</v>
      </c>
      <c r="L28" s="44" t="s">
        <v>113</v>
      </c>
      <c r="M28" s="44" t="s">
        <v>113</v>
      </c>
      <c r="N28" s="44" t="s">
        <v>113</v>
      </c>
      <c r="O28" s="18">
        <v>2.2569444444444444E-2</v>
      </c>
      <c r="P28" s="18">
        <v>2.2569444444444444E-2</v>
      </c>
      <c r="Q28" s="18">
        <v>1.9316493313521546E-2</v>
      </c>
      <c r="R28" s="18">
        <v>3.125E-2</v>
      </c>
      <c r="S28" s="18">
        <v>1.3888888888888888E-2</v>
      </c>
      <c r="T28" s="18"/>
      <c r="U28" s="18">
        <v>2.34375E-2</v>
      </c>
      <c r="V28" s="18">
        <v>2.5000000000000001E-2</v>
      </c>
      <c r="W28" s="18">
        <v>2.2916666666666665E-2</v>
      </c>
      <c r="X28" s="18">
        <v>2.6785714285714284E-2</v>
      </c>
      <c r="Y28" s="18">
        <v>3.125E-2</v>
      </c>
      <c r="Z28" s="18">
        <v>3.8194444444444448E-2</v>
      </c>
      <c r="AA28" s="18">
        <v>2.976190476190476E-2</v>
      </c>
      <c r="AB28" s="18"/>
      <c r="AC28" s="18">
        <v>2.6041666666666668E-2</v>
      </c>
      <c r="AD28" s="18">
        <v>2.3809523809523808E-2</v>
      </c>
      <c r="AE28" s="18">
        <v>2.6785714285714284E-2</v>
      </c>
      <c r="AF28" s="18">
        <v>3.2986111111111112E-2</v>
      </c>
      <c r="AG28" s="18">
        <v>3.273809523809524E-2</v>
      </c>
      <c r="AH28" s="18">
        <v>3.7202380952380952E-2</v>
      </c>
      <c r="AI28" s="18">
        <v>2.5297619047619048E-2</v>
      </c>
      <c r="AJ28" s="18">
        <v>0.125</v>
      </c>
      <c r="AK28" s="18">
        <v>2.7777777777777776E-2</v>
      </c>
      <c r="AL28" s="18">
        <v>2.0833333333333332E-2</v>
      </c>
      <c r="AM28" s="18">
        <v>3.9583333333333331E-2</v>
      </c>
      <c r="AN28" s="18">
        <v>3.7202380952380952E-2</v>
      </c>
      <c r="AO28" s="18">
        <v>2.6041666666666668E-2</v>
      </c>
    </row>
    <row r="29" spans="1:41" ht="15">
      <c r="A29" s="27" t="s">
        <v>70</v>
      </c>
      <c r="B29" s="17"/>
      <c r="C29" s="17">
        <v>1</v>
      </c>
      <c r="D29" s="17">
        <v>0.99999999999999989</v>
      </c>
      <c r="E29" s="17">
        <v>1</v>
      </c>
      <c r="F29" s="17">
        <v>0.99999999999999978</v>
      </c>
      <c r="G29" s="17">
        <v>0.99999999999999989</v>
      </c>
      <c r="H29" s="17">
        <v>0.99999999999999989</v>
      </c>
      <c r="I29" s="17">
        <v>1</v>
      </c>
      <c r="J29" s="17">
        <v>1</v>
      </c>
      <c r="K29" s="17"/>
      <c r="L29" s="17"/>
      <c r="M29" s="17"/>
      <c r="N29" s="17"/>
      <c r="O29" s="17">
        <v>1.0000000000000002</v>
      </c>
      <c r="P29" s="17">
        <v>1</v>
      </c>
      <c r="Q29" s="17">
        <v>1</v>
      </c>
      <c r="R29" s="17">
        <v>1</v>
      </c>
      <c r="S29" s="17">
        <v>0.99999999999999978</v>
      </c>
      <c r="T29" s="17"/>
      <c r="U29" s="17">
        <v>0.99999999999999989</v>
      </c>
      <c r="V29" s="17">
        <v>0.99999999999999989</v>
      </c>
      <c r="W29" s="17">
        <v>1</v>
      </c>
      <c r="X29" s="17">
        <v>1</v>
      </c>
      <c r="Y29" s="17">
        <v>0.99999999999999989</v>
      </c>
      <c r="Z29" s="17">
        <v>1</v>
      </c>
      <c r="AA29" s="17">
        <v>1</v>
      </c>
      <c r="AB29" s="17"/>
      <c r="AC29" s="17"/>
      <c r="AD29" s="17">
        <v>0.99999999999999989</v>
      </c>
      <c r="AE29" s="17">
        <v>1</v>
      </c>
      <c r="AF29" s="17">
        <v>1</v>
      </c>
      <c r="AG29" s="17">
        <v>1</v>
      </c>
      <c r="AH29" s="18">
        <f t="shared" ref="AH29:AO29" si="0">SUM(AH14:AH28)</f>
        <v>1</v>
      </c>
      <c r="AI29" s="18">
        <f t="shared" si="0"/>
        <v>1</v>
      </c>
      <c r="AJ29" s="18">
        <f t="shared" si="0"/>
        <v>1</v>
      </c>
      <c r="AK29" s="18">
        <f t="shared" si="0"/>
        <v>1.0000000000000002</v>
      </c>
      <c r="AL29" s="18">
        <f t="shared" si="0"/>
        <v>1</v>
      </c>
      <c r="AM29" s="18">
        <f t="shared" si="0"/>
        <v>1</v>
      </c>
      <c r="AN29" s="18">
        <f t="shared" si="0"/>
        <v>1</v>
      </c>
      <c r="AO29" s="18">
        <f t="shared" si="0"/>
        <v>1</v>
      </c>
    </row>
    <row r="30" spans="1:41" ht="25.5">
      <c r="A30" s="46" t="s">
        <v>71</v>
      </c>
      <c r="B30" s="44"/>
      <c r="C30" s="44" t="s">
        <v>72</v>
      </c>
      <c r="D30" s="44" t="s">
        <v>72</v>
      </c>
      <c r="E30" s="44" t="s">
        <v>72</v>
      </c>
      <c r="F30" s="44" t="s">
        <v>72</v>
      </c>
      <c r="G30" s="44" t="s">
        <v>72</v>
      </c>
      <c r="H30" s="84" t="s">
        <v>114</v>
      </c>
      <c r="I30" s="71"/>
      <c r="J30" s="71"/>
      <c r="K30" s="44" t="s">
        <v>72</v>
      </c>
      <c r="L30" s="44" t="s">
        <v>72</v>
      </c>
      <c r="M30" s="44" t="s">
        <v>72</v>
      </c>
      <c r="N30" s="44" t="s">
        <v>72</v>
      </c>
      <c r="O30" s="44" t="s">
        <v>72</v>
      </c>
      <c r="P30" s="44" t="s">
        <v>72</v>
      </c>
      <c r="Q30" s="44" t="s">
        <v>72</v>
      </c>
      <c r="R30" s="44" t="s">
        <v>72</v>
      </c>
      <c r="S30" s="44" t="s">
        <v>72</v>
      </c>
      <c r="T30" s="44" t="s">
        <v>72</v>
      </c>
      <c r="U30" s="44" t="s">
        <v>72</v>
      </c>
      <c r="V30" s="44" t="s">
        <v>72</v>
      </c>
      <c r="W30" s="44" t="s">
        <v>72</v>
      </c>
      <c r="X30" s="44" t="s">
        <v>72</v>
      </c>
      <c r="Y30" s="44" t="s">
        <v>72</v>
      </c>
      <c r="Z30" s="44" t="s">
        <v>72</v>
      </c>
      <c r="AA30" s="84" t="s">
        <v>115</v>
      </c>
      <c r="AB30" s="71"/>
      <c r="AC30" s="44" t="s">
        <v>72</v>
      </c>
      <c r="AD30" s="48" t="s">
        <v>72</v>
      </c>
      <c r="AE30" s="48" t="s">
        <v>72</v>
      </c>
      <c r="AF30" s="48" t="s">
        <v>72</v>
      </c>
      <c r="AG30" s="48" t="s">
        <v>72</v>
      </c>
      <c r="AH30" s="44" t="s">
        <v>116</v>
      </c>
      <c r="AI30" s="84" t="s">
        <v>117</v>
      </c>
      <c r="AJ30" s="71"/>
      <c r="AK30" s="47" t="s">
        <v>118</v>
      </c>
      <c r="AL30" s="48" t="s">
        <v>72</v>
      </c>
      <c r="AM30" s="48" t="s">
        <v>72</v>
      </c>
      <c r="AN30" s="48" t="s">
        <v>72</v>
      </c>
      <c r="AO30" s="49" t="s">
        <v>119</v>
      </c>
    </row>
    <row r="31" spans="1:41" ht="15">
      <c r="A31" s="54" t="s">
        <v>92</v>
      </c>
      <c r="B31" s="55"/>
      <c r="C31" s="55">
        <v>0</v>
      </c>
      <c r="D31" s="55">
        <v>-695</v>
      </c>
      <c r="E31" s="55">
        <v>0</v>
      </c>
      <c r="F31" s="55">
        <v>-2345</v>
      </c>
      <c r="G31" s="55">
        <v>3050</v>
      </c>
      <c r="H31" s="55">
        <v>130</v>
      </c>
      <c r="I31" s="55">
        <v>-935</v>
      </c>
      <c r="J31" s="55">
        <v>-600</v>
      </c>
      <c r="K31" s="55"/>
      <c r="L31" s="55">
        <v>-2335</v>
      </c>
      <c r="M31" s="55">
        <v>-340</v>
      </c>
      <c r="N31" s="55">
        <v>-95</v>
      </c>
      <c r="O31" s="55">
        <v>-683</v>
      </c>
      <c r="P31" s="55">
        <v>1223</v>
      </c>
      <c r="Q31" s="55">
        <v>-1870</v>
      </c>
      <c r="R31" s="55">
        <v>-64</v>
      </c>
      <c r="S31" s="55">
        <v>1216</v>
      </c>
      <c r="T31" s="55">
        <f>-(665+2000)</f>
        <v>-2665</v>
      </c>
      <c r="U31" s="55">
        <v>-1576</v>
      </c>
      <c r="V31" s="55">
        <v>-573</v>
      </c>
      <c r="W31" s="55">
        <v>-1585</v>
      </c>
      <c r="X31" s="55">
        <v>-995</v>
      </c>
      <c r="Y31" s="55">
        <v>-266</v>
      </c>
      <c r="Z31" s="55">
        <v>-7565</v>
      </c>
      <c r="AA31" s="55">
        <v>6090</v>
      </c>
      <c r="AB31" s="55">
        <v>0</v>
      </c>
      <c r="AC31" s="55">
        <v>780</v>
      </c>
      <c r="AD31" s="55">
        <v>-225</v>
      </c>
      <c r="AE31" s="55">
        <v>-2090</v>
      </c>
      <c r="AF31" s="55">
        <v>160</v>
      </c>
      <c r="AG31" s="55">
        <v>-2460</v>
      </c>
      <c r="AH31" s="55">
        <v>-1335</v>
      </c>
      <c r="AI31" s="55"/>
      <c r="AJ31" s="55"/>
      <c r="AK31" s="55"/>
      <c r="AL31" s="55">
        <v>-820</v>
      </c>
      <c r="AM31" s="55"/>
      <c r="AN31" s="55">
        <v>-5525</v>
      </c>
      <c r="AO31" s="56">
        <v>-2162</v>
      </c>
    </row>
    <row r="32" spans="1:41" ht="12.75">
      <c r="A32" s="6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1" ht="12.75">
      <c r="A33" s="60"/>
    </row>
    <row r="34" spans="1:1" ht="12.75">
      <c r="A34" s="60"/>
    </row>
    <row r="35" spans="1:1" ht="12.75">
      <c r="A35" s="60"/>
    </row>
    <row r="36" spans="1:1" ht="12.75">
      <c r="A36" s="61"/>
    </row>
    <row r="37" spans="1:1" ht="12.75">
      <c r="A37" s="1"/>
    </row>
    <row r="38" spans="1:1" ht="12.75">
      <c r="A38" s="60"/>
    </row>
    <row r="39" spans="1:1" ht="12.75">
      <c r="A39" s="60"/>
    </row>
    <row r="40" spans="1:1" ht="12.75">
      <c r="A40" s="60"/>
    </row>
    <row r="41" spans="1:1" ht="12.75">
      <c r="A41" s="60"/>
    </row>
    <row r="42" spans="1:1" ht="12.75">
      <c r="A42" s="60"/>
    </row>
    <row r="43" spans="1:1" ht="12.75">
      <c r="A43" s="60"/>
    </row>
    <row r="44" spans="1:1" ht="12.75">
      <c r="A44" s="60"/>
    </row>
    <row r="45" spans="1:1" ht="12.75">
      <c r="A45" s="60"/>
    </row>
    <row r="46" spans="1:1" ht="12.75">
      <c r="A46" s="60"/>
    </row>
    <row r="47" spans="1:1" ht="12.75">
      <c r="A47" s="60"/>
    </row>
    <row r="48" spans="1:1" ht="12.75">
      <c r="A48" s="60"/>
    </row>
    <row r="49" spans="1:1" ht="12.75">
      <c r="A49" s="60"/>
    </row>
    <row r="50" spans="1:1" ht="12.75">
      <c r="A50" s="60"/>
    </row>
    <row r="51" spans="1:1" ht="12.75">
      <c r="A51" s="60"/>
    </row>
    <row r="52" spans="1:1" ht="12.75">
      <c r="A52" s="60"/>
    </row>
    <row r="53" spans="1:1" ht="12.75">
      <c r="A53" s="60"/>
    </row>
    <row r="54" spans="1:1" ht="12.75">
      <c r="A54" s="60"/>
    </row>
    <row r="55" spans="1:1" ht="12.75">
      <c r="A55" s="60"/>
    </row>
    <row r="56" spans="1:1" ht="12.75">
      <c r="A56" s="60"/>
    </row>
    <row r="57" spans="1:1" ht="12.75">
      <c r="A57" s="60"/>
    </row>
    <row r="58" spans="1:1" ht="12.75">
      <c r="A58" s="60"/>
    </row>
    <row r="59" spans="1:1" ht="12.75">
      <c r="A59" s="60"/>
    </row>
    <row r="60" spans="1:1" ht="12.75">
      <c r="A60" s="60"/>
    </row>
    <row r="61" spans="1:1" ht="12.75">
      <c r="A61" s="60"/>
    </row>
    <row r="62" spans="1:1" ht="12.75">
      <c r="A62" s="60"/>
    </row>
    <row r="63" spans="1:1" ht="12.75">
      <c r="A63" s="60"/>
    </row>
    <row r="64" spans="1:1" ht="12.75">
      <c r="A64" s="60"/>
    </row>
    <row r="65" spans="1:1" ht="12.75">
      <c r="A65" s="60"/>
    </row>
    <row r="66" spans="1:1" ht="12.75">
      <c r="A66" s="60"/>
    </row>
    <row r="67" spans="1:1" ht="12.75">
      <c r="A67" s="60"/>
    </row>
    <row r="68" spans="1:1" ht="12.75">
      <c r="A68" s="60"/>
    </row>
    <row r="69" spans="1:1" ht="12.75">
      <c r="A69" s="60"/>
    </row>
    <row r="70" spans="1:1" ht="12.75">
      <c r="A70" s="60"/>
    </row>
    <row r="71" spans="1:1" ht="12.75">
      <c r="A71" s="60"/>
    </row>
    <row r="72" spans="1:1" ht="12.75">
      <c r="A72" s="60"/>
    </row>
    <row r="73" spans="1:1" ht="12.75">
      <c r="A73" s="60"/>
    </row>
    <row r="74" spans="1:1" ht="12.75">
      <c r="A74" s="60"/>
    </row>
    <row r="75" spans="1:1" ht="12.75">
      <c r="A75" s="60"/>
    </row>
    <row r="76" spans="1:1" ht="12.75">
      <c r="A76" s="60"/>
    </row>
    <row r="77" spans="1:1" ht="12.75">
      <c r="A77" s="60"/>
    </row>
    <row r="78" spans="1:1" ht="12.75">
      <c r="A78" s="60"/>
    </row>
    <row r="79" spans="1:1" ht="12.75">
      <c r="A79" s="60"/>
    </row>
    <row r="80" spans="1:1" ht="12.75">
      <c r="A80" s="60"/>
    </row>
    <row r="81" spans="1:1" ht="12.75">
      <c r="A81" s="60"/>
    </row>
    <row r="82" spans="1:1" ht="12.75">
      <c r="A82" s="60"/>
    </row>
    <row r="83" spans="1:1" ht="12.75">
      <c r="A83" s="60"/>
    </row>
    <row r="84" spans="1:1" ht="12.75">
      <c r="A84" s="60"/>
    </row>
    <row r="85" spans="1:1" ht="12.75">
      <c r="A85" s="60"/>
    </row>
    <row r="86" spans="1:1" ht="12.75">
      <c r="A86" s="60"/>
    </row>
    <row r="87" spans="1:1" ht="12.75">
      <c r="A87" s="60"/>
    </row>
    <row r="88" spans="1:1" ht="12.75">
      <c r="A88" s="60"/>
    </row>
    <row r="89" spans="1:1" ht="12.75">
      <c r="A89" s="60"/>
    </row>
    <row r="90" spans="1:1" ht="12.75">
      <c r="A90" s="60"/>
    </row>
    <row r="91" spans="1:1" ht="12.75">
      <c r="A91" s="60"/>
    </row>
    <row r="92" spans="1:1" ht="12.75">
      <c r="A92" s="60"/>
    </row>
    <row r="93" spans="1:1" ht="12.75">
      <c r="A93" s="60"/>
    </row>
    <row r="94" spans="1:1" ht="12.75">
      <c r="A94" s="60"/>
    </row>
    <row r="95" spans="1:1" ht="12.75">
      <c r="A95" s="60"/>
    </row>
    <row r="96" spans="1:1" ht="12.75">
      <c r="A96" s="60"/>
    </row>
    <row r="97" spans="1:1" ht="12.75">
      <c r="A97" s="60"/>
    </row>
    <row r="98" spans="1:1" ht="12.75">
      <c r="A98" s="60"/>
    </row>
    <row r="99" spans="1:1" ht="12.75">
      <c r="A99" s="60"/>
    </row>
    <row r="100" spans="1:1" ht="12.75">
      <c r="A100" s="60"/>
    </row>
    <row r="101" spans="1:1" ht="12.75">
      <c r="A101" s="60"/>
    </row>
    <row r="102" spans="1:1" ht="12.75">
      <c r="A102" s="60"/>
    </row>
    <row r="103" spans="1:1" ht="12.75">
      <c r="A103" s="60"/>
    </row>
    <row r="104" spans="1:1" ht="12.75">
      <c r="A104" s="60"/>
    </row>
    <row r="105" spans="1:1" ht="12.75">
      <c r="A105" s="60"/>
    </row>
    <row r="106" spans="1:1" ht="12.75">
      <c r="A106" s="60"/>
    </row>
    <row r="107" spans="1:1" ht="12.75">
      <c r="A107" s="60"/>
    </row>
    <row r="108" spans="1:1" ht="12.75">
      <c r="A108" s="60"/>
    </row>
    <row r="109" spans="1:1" ht="12.75">
      <c r="A109" s="60"/>
    </row>
    <row r="110" spans="1:1" ht="12.75">
      <c r="A110" s="60"/>
    </row>
    <row r="111" spans="1:1" ht="12.75">
      <c r="A111" s="60"/>
    </row>
    <row r="112" spans="1:1" ht="12.75">
      <c r="A112" s="60"/>
    </row>
    <row r="113" spans="1:1" ht="12.75">
      <c r="A113" s="60"/>
    </row>
    <row r="114" spans="1:1" ht="12.75">
      <c r="A114" s="60"/>
    </row>
    <row r="115" spans="1:1" ht="12.75">
      <c r="A115" s="60"/>
    </row>
    <row r="116" spans="1:1" ht="12.75">
      <c r="A116" s="60"/>
    </row>
    <row r="117" spans="1:1" ht="12.75">
      <c r="A117" s="60"/>
    </row>
    <row r="118" spans="1:1" ht="12.75">
      <c r="A118" s="60"/>
    </row>
    <row r="119" spans="1:1" ht="12.75">
      <c r="A119" s="60"/>
    </row>
    <row r="120" spans="1:1" ht="12.75">
      <c r="A120" s="60"/>
    </row>
    <row r="121" spans="1:1" ht="12.75">
      <c r="A121" s="60"/>
    </row>
    <row r="122" spans="1:1" ht="12.75">
      <c r="A122" s="60"/>
    </row>
    <row r="123" spans="1:1" ht="12.75">
      <c r="A123" s="60"/>
    </row>
    <row r="124" spans="1:1" ht="12.75">
      <c r="A124" s="60"/>
    </row>
    <row r="125" spans="1:1" ht="12.75">
      <c r="A125" s="60"/>
    </row>
    <row r="126" spans="1:1" ht="12.75">
      <c r="A126" s="60"/>
    </row>
    <row r="127" spans="1:1" ht="12.75">
      <c r="A127" s="60"/>
    </row>
    <row r="128" spans="1:1" ht="12.75">
      <c r="A128" s="60"/>
    </row>
    <row r="129" spans="1:1" ht="12.75">
      <c r="A129" s="60"/>
    </row>
    <row r="130" spans="1:1" ht="12.75">
      <c r="A130" s="60"/>
    </row>
    <row r="131" spans="1:1" ht="12.75">
      <c r="A131" s="60"/>
    </row>
    <row r="132" spans="1:1" ht="12.75">
      <c r="A132" s="60"/>
    </row>
    <row r="133" spans="1:1" ht="12.75">
      <c r="A133" s="60"/>
    </row>
    <row r="134" spans="1:1" ht="12.75">
      <c r="A134" s="60"/>
    </row>
    <row r="135" spans="1:1" ht="12.75">
      <c r="A135" s="60"/>
    </row>
    <row r="136" spans="1:1" ht="12.75">
      <c r="A136" s="60"/>
    </row>
    <row r="137" spans="1:1" ht="12.75">
      <c r="A137" s="60"/>
    </row>
    <row r="138" spans="1:1" ht="12.75">
      <c r="A138" s="60"/>
    </row>
    <row r="139" spans="1:1" ht="12.75">
      <c r="A139" s="60"/>
    </row>
    <row r="140" spans="1:1" ht="12.75">
      <c r="A140" s="60"/>
    </row>
    <row r="141" spans="1:1" ht="12.75">
      <c r="A141" s="60"/>
    </row>
    <row r="142" spans="1:1" ht="12.75">
      <c r="A142" s="60"/>
    </row>
    <row r="143" spans="1:1" ht="12.75">
      <c r="A143" s="60"/>
    </row>
    <row r="144" spans="1:1" ht="12.75">
      <c r="A144" s="60"/>
    </row>
    <row r="145" spans="1:1" ht="12.75">
      <c r="A145" s="60"/>
    </row>
    <row r="146" spans="1:1" ht="12.75">
      <c r="A146" s="60"/>
    </row>
    <row r="147" spans="1:1" ht="12.75">
      <c r="A147" s="60"/>
    </row>
    <row r="148" spans="1:1" ht="12.75">
      <c r="A148" s="60"/>
    </row>
    <row r="149" spans="1:1" ht="12.75">
      <c r="A149" s="60"/>
    </row>
    <row r="150" spans="1:1" ht="12.75">
      <c r="A150" s="60"/>
    </row>
    <row r="151" spans="1:1" ht="12.75">
      <c r="A151" s="60"/>
    </row>
    <row r="152" spans="1:1" ht="12.75">
      <c r="A152" s="60"/>
    </row>
    <row r="153" spans="1:1" ht="12.75">
      <c r="A153" s="60"/>
    </row>
    <row r="154" spans="1:1" ht="12.75">
      <c r="A154" s="60"/>
    </row>
    <row r="155" spans="1:1" ht="12.75">
      <c r="A155" s="60"/>
    </row>
    <row r="156" spans="1:1" ht="12.75">
      <c r="A156" s="60"/>
    </row>
    <row r="157" spans="1:1" ht="12.75">
      <c r="A157" s="60"/>
    </row>
    <row r="158" spans="1:1" ht="12.75">
      <c r="A158" s="60"/>
    </row>
    <row r="159" spans="1:1" ht="12.75">
      <c r="A159" s="60"/>
    </row>
    <row r="160" spans="1:1" ht="12.75">
      <c r="A160" s="60"/>
    </row>
    <row r="161" spans="1:1" ht="12.75">
      <c r="A161" s="60"/>
    </row>
    <row r="162" spans="1:1" ht="12.75">
      <c r="A162" s="60"/>
    </row>
    <row r="163" spans="1:1" ht="12.75">
      <c r="A163" s="60"/>
    </row>
    <row r="164" spans="1:1" ht="12.75">
      <c r="A164" s="60"/>
    </row>
    <row r="165" spans="1:1" ht="12.75">
      <c r="A165" s="60"/>
    </row>
    <row r="166" spans="1:1" ht="12.75">
      <c r="A166" s="60"/>
    </row>
    <row r="167" spans="1:1" ht="12.75">
      <c r="A167" s="60"/>
    </row>
    <row r="168" spans="1:1" ht="12.75">
      <c r="A168" s="60"/>
    </row>
    <row r="169" spans="1:1" ht="12.75">
      <c r="A169" s="60"/>
    </row>
    <row r="170" spans="1:1" ht="12.75">
      <c r="A170" s="60"/>
    </row>
    <row r="171" spans="1:1" ht="12.75">
      <c r="A171" s="60"/>
    </row>
    <row r="172" spans="1:1" ht="12.75">
      <c r="A172" s="60"/>
    </row>
    <row r="173" spans="1:1" ht="12.75">
      <c r="A173" s="60"/>
    </row>
    <row r="174" spans="1:1" ht="12.75">
      <c r="A174" s="60"/>
    </row>
    <row r="175" spans="1:1" ht="12.75">
      <c r="A175" s="60"/>
    </row>
    <row r="176" spans="1:1" ht="12.75">
      <c r="A176" s="60"/>
    </row>
    <row r="177" spans="1:1" ht="12.75">
      <c r="A177" s="60"/>
    </row>
    <row r="178" spans="1:1" ht="12.75">
      <c r="A178" s="60"/>
    </row>
    <row r="179" spans="1:1" ht="12.75">
      <c r="A179" s="60"/>
    </row>
    <row r="180" spans="1:1" ht="12.75">
      <c r="A180" s="60"/>
    </row>
    <row r="181" spans="1:1" ht="12.75">
      <c r="A181" s="60"/>
    </row>
    <row r="182" spans="1:1" ht="12.75">
      <c r="A182" s="60"/>
    </row>
    <row r="183" spans="1:1" ht="12.75">
      <c r="A183" s="60"/>
    </row>
    <row r="184" spans="1:1" ht="12.75">
      <c r="A184" s="60"/>
    </row>
    <row r="185" spans="1:1" ht="12.75">
      <c r="A185" s="60"/>
    </row>
    <row r="186" spans="1:1" ht="12.75">
      <c r="A186" s="60"/>
    </row>
    <row r="187" spans="1:1" ht="12.75">
      <c r="A187" s="60"/>
    </row>
    <row r="188" spans="1:1" ht="12.75">
      <c r="A188" s="60"/>
    </row>
    <row r="189" spans="1:1" ht="12.75">
      <c r="A189" s="60"/>
    </row>
    <row r="190" spans="1:1" ht="12.75">
      <c r="A190" s="60"/>
    </row>
    <row r="191" spans="1:1" ht="12.75">
      <c r="A191" s="60"/>
    </row>
    <row r="192" spans="1:1" ht="12.75">
      <c r="A192" s="60"/>
    </row>
    <row r="193" spans="1:1" ht="12.75">
      <c r="A193" s="60"/>
    </row>
    <row r="194" spans="1:1" ht="12.75">
      <c r="A194" s="60"/>
    </row>
    <row r="195" spans="1:1" ht="12.75">
      <c r="A195" s="60"/>
    </row>
    <row r="196" spans="1:1" ht="12.75">
      <c r="A196" s="60"/>
    </row>
    <row r="197" spans="1:1" ht="12.75">
      <c r="A197" s="60"/>
    </row>
    <row r="198" spans="1:1" ht="12.75">
      <c r="A198" s="60"/>
    </row>
    <row r="199" spans="1:1" ht="12.75">
      <c r="A199" s="60"/>
    </row>
    <row r="200" spans="1:1" ht="12.75">
      <c r="A200" s="60"/>
    </row>
    <row r="201" spans="1:1" ht="12.75">
      <c r="A201" s="60"/>
    </row>
    <row r="202" spans="1:1" ht="12.75">
      <c r="A202" s="60"/>
    </row>
    <row r="203" spans="1:1" ht="12.75">
      <c r="A203" s="60"/>
    </row>
    <row r="204" spans="1:1" ht="12.75">
      <c r="A204" s="60"/>
    </row>
    <row r="205" spans="1:1" ht="12.75">
      <c r="A205" s="60"/>
    </row>
    <row r="206" spans="1:1" ht="12.75">
      <c r="A206" s="60"/>
    </row>
    <row r="207" spans="1:1" ht="12.75">
      <c r="A207" s="60"/>
    </row>
    <row r="208" spans="1:1" ht="12.75">
      <c r="A208" s="60"/>
    </row>
    <row r="209" spans="1:1" ht="12.75">
      <c r="A209" s="60"/>
    </row>
    <row r="210" spans="1:1" ht="12.75">
      <c r="A210" s="60"/>
    </row>
    <row r="211" spans="1:1" ht="12.75">
      <c r="A211" s="60"/>
    </row>
    <row r="212" spans="1:1" ht="12.75">
      <c r="A212" s="60"/>
    </row>
    <row r="213" spans="1:1" ht="12.75">
      <c r="A213" s="60"/>
    </row>
    <row r="214" spans="1:1" ht="12.75">
      <c r="A214" s="60"/>
    </row>
    <row r="215" spans="1:1" ht="12.75">
      <c r="A215" s="60"/>
    </row>
    <row r="216" spans="1:1" ht="12.75">
      <c r="A216" s="60"/>
    </row>
    <row r="217" spans="1:1" ht="12.75">
      <c r="A217" s="60"/>
    </row>
    <row r="218" spans="1:1" ht="12.75">
      <c r="A218" s="60"/>
    </row>
    <row r="219" spans="1:1" ht="12.75">
      <c r="A219" s="60"/>
    </row>
    <row r="220" spans="1:1" ht="12.75">
      <c r="A220" s="60"/>
    </row>
    <row r="221" spans="1:1" ht="12.75">
      <c r="A221" s="60"/>
    </row>
    <row r="222" spans="1:1" ht="12.75">
      <c r="A222" s="60"/>
    </row>
    <row r="223" spans="1:1" ht="12.75">
      <c r="A223" s="60"/>
    </row>
    <row r="224" spans="1:1" ht="12.75">
      <c r="A224" s="60"/>
    </row>
    <row r="225" spans="1:1" ht="12.75">
      <c r="A225" s="60"/>
    </row>
    <row r="226" spans="1:1" ht="12.75">
      <c r="A226" s="60"/>
    </row>
    <row r="227" spans="1:1" ht="12.75">
      <c r="A227" s="60"/>
    </row>
    <row r="228" spans="1:1" ht="12.75">
      <c r="A228" s="60"/>
    </row>
    <row r="229" spans="1:1" ht="12.75">
      <c r="A229" s="60"/>
    </row>
    <row r="230" spans="1:1" ht="12.75">
      <c r="A230" s="60"/>
    </row>
    <row r="231" spans="1:1" ht="12.75">
      <c r="A231" s="60"/>
    </row>
    <row r="232" spans="1:1" ht="12.75">
      <c r="A232" s="60"/>
    </row>
    <row r="233" spans="1:1" ht="12.75">
      <c r="A233" s="60"/>
    </row>
    <row r="234" spans="1:1" ht="12.75">
      <c r="A234" s="60"/>
    </row>
    <row r="235" spans="1:1" ht="12.75">
      <c r="A235" s="60"/>
    </row>
    <row r="236" spans="1:1" ht="12.75">
      <c r="A236" s="60"/>
    </row>
    <row r="237" spans="1:1" ht="12.75">
      <c r="A237" s="60"/>
    </row>
    <row r="238" spans="1:1" ht="12.75">
      <c r="A238" s="60"/>
    </row>
    <row r="239" spans="1:1" ht="12.75">
      <c r="A239" s="60"/>
    </row>
    <row r="240" spans="1:1" ht="12.75">
      <c r="A240" s="60"/>
    </row>
    <row r="241" spans="1:1" ht="12.75">
      <c r="A241" s="60"/>
    </row>
    <row r="242" spans="1:1" ht="12.75">
      <c r="A242" s="60"/>
    </row>
    <row r="243" spans="1:1" ht="12.75">
      <c r="A243" s="60"/>
    </row>
    <row r="244" spans="1:1" ht="12.75">
      <c r="A244" s="60"/>
    </row>
    <row r="245" spans="1:1" ht="12.75">
      <c r="A245" s="60"/>
    </row>
    <row r="246" spans="1:1" ht="12.75">
      <c r="A246" s="60"/>
    </row>
    <row r="247" spans="1:1" ht="12.75">
      <c r="A247" s="60"/>
    </row>
    <row r="248" spans="1:1" ht="12.75">
      <c r="A248" s="60"/>
    </row>
    <row r="249" spans="1:1" ht="12.75">
      <c r="A249" s="60"/>
    </row>
    <row r="250" spans="1:1" ht="12.75">
      <c r="A250" s="60"/>
    </row>
    <row r="251" spans="1:1" ht="12.75">
      <c r="A251" s="60"/>
    </row>
    <row r="252" spans="1:1" ht="12.75">
      <c r="A252" s="60"/>
    </row>
    <row r="253" spans="1:1" ht="12.75">
      <c r="A253" s="60"/>
    </row>
    <row r="254" spans="1:1" ht="12.75">
      <c r="A254" s="60"/>
    </row>
    <row r="255" spans="1:1" ht="12.75">
      <c r="A255" s="60"/>
    </row>
    <row r="256" spans="1:1" ht="12.75">
      <c r="A256" s="60"/>
    </row>
    <row r="257" spans="1:1" ht="12.75">
      <c r="A257" s="60"/>
    </row>
    <row r="258" spans="1:1" ht="12.75">
      <c r="A258" s="60"/>
    </row>
    <row r="259" spans="1:1" ht="12.75">
      <c r="A259" s="60"/>
    </row>
    <row r="260" spans="1:1" ht="12.75">
      <c r="A260" s="60"/>
    </row>
    <row r="261" spans="1:1" ht="12.75">
      <c r="A261" s="60"/>
    </row>
    <row r="262" spans="1:1" ht="12.75">
      <c r="A262" s="60"/>
    </row>
    <row r="263" spans="1:1" ht="12.75">
      <c r="A263" s="60"/>
    </row>
    <row r="264" spans="1:1" ht="12.75">
      <c r="A264" s="60"/>
    </row>
    <row r="265" spans="1:1" ht="12.75">
      <c r="A265" s="60"/>
    </row>
    <row r="266" spans="1:1" ht="12.75">
      <c r="A266" s="60"/>
    </row>
    <row r="267" spans="1:1" ht="12.75">
      <c r="A267" s="60"/>
    </row>
    <row r="268" spans="1:1" ht="12.75">
      <c r="A268" s="60"/>
    </row>
    <row r="269" spans="1:1" ht="12.75">
      <c r="A269" s="60"/>
    </row>
    <row r="270" spans="1:1" ht="12.75">
      <c r="A270" s="60"/>
    </row>
    <row r="271" spans="1:1" ht="12.75">
      <c r="A271" s="60"/>
    </row>
    <row r="272" spans="1:1" ht="12.75">
      <c r="A272" s="60"/>
    </row>
    <row r="273" spans="1:1" ht="12.75">
      <c r="A273" s="60"/>
    </row>
    <row r="274" spans="1:1" ht="12.75">
      <c r="A274" s="60"/>
    </row>
    <row r="275" spans="1:1" ht="12.75">
      <c r="A275" s="60"/>
    </row>
    <row r="276" spans="1:1" ht="12.75">
      <c r="A276" s="60"/>
    </row>
    <row r="277" spans="1:1" ht="12.75">
      <c r="A277" s="60"/>
    </row>
    <row r="278" spans="1:1" ht="12.75">
      <c r="A278" s="60"/>
    </row>
    <row r="279" spans="1:1" ht="12.75">
      <c r="A279" s="60"/>
    </row>
    <row r="280" spans="1:1" ht="12.75">
      <c r="A280" s="60"/>
    </row>
    <row r="281" spans="1:1" ht="12.75">
      <c r="A281" s="60"/>
    </row>
    <row r="282" spans="1:1" ht="12.75">
      <c r="A282" s="60"/>
    </row>
    <row r="283" spans="1:1" ht="12.75">
      <c r="A283" s="60"/>
    </row>
    <row r="284" spans="1:1" ht="12.75">
      <c r="A284" s="60"/>
    </row>
    <row r="285" spans="1:1" ht="12.75">
      <c r="A285" s="60"/>
    </row>
    <row r="286" spans="1:1" ht="12.75">
      <c r="A286" s="60"/>
    </row>
    <row r="287" spans="1:1" ht="12.75">
      <c r="A287" s="60"/>
    </row>
    <row r="288" spans="1:1" ht="12.75">
      <c r="A288" s="60"/>
    </row>
    <row r="289" spans="1:1" ht="12.75">
      <c r="A289" s="60"/>
    </row>
    <row r="290" spans="1:1" ht="12.75">
      <c r="A290" s="60"/>
    </row>
    <row r="291" spans="1:1" ht="12.75">
      <c r="A291" s="60"/>
    </row>
    <row r="292" spans="1:1" ht="12.75">
      <c r="A292" s="60"/>
    </row>
    <row r="293" spans="1:1" ht="12.75">
      <c r="A293" s="60"/>
    </row>
    <row r="294" spans="1:1" ht="12.75">
      <c r="A294" s="60"/>
    </row>
    <row r="295" spans="1:1" ht="12.75">
      <c r="A295" s="60"/>
    </row>
    <row r="296" spans="1:1" ht="12.75">
      <c r="A296" s="60"/>
    </row>
    <row r="297" spans="1:1" ht="12.75">
      <c r="A297" s="60"/>
    </row>
    <row r="298" spans="1:1" ht="12.75">
      <c r="A298" s="60"/>
    </row>
    <row r="299" spans="1:1" ht="12.75">
      <c r="A299" s="60"/>
    </row>
    <row r="300" spans="1:1" ht="12.75">
      <c r="A300" s="60"/>
    </row>
    <row r="301" spans="1:1" ht="12.75">
      <c r="A301" s="60"/>
    </row>
    <row r="302" spans="1:1" ht="12.75">
      <c r="A302" s="60"/>
    </row>
    <row r="303" spans="1:1" ht="12.75">
      <c r="A303" s="60"/>
    </row>
    <row r="304" spans="1:1" ht="12.75">
      <c r="A304" s="60"/>
    </row>
    <row r="305" spans="1:1" ht="12.75">
      <c r="A305" s="60"/>
    </row>
    <row r="306" spans="1:1" ht="12.75">
      <c r="A306" s="60"/>
    </row>
    <row r="307" spans="1:1" ht="12.75">
      <c r="A307" s="60"/>
    </row>
    <row r="308" spans="1:1" ht="12.75">
      <c r="A308" s="60"/>
    </row>
    <row r="309" spans="1:1" ht="12.75">
      <c r="A309" s="60"/>
    </row>
    <row r="310" spans="1:1" ht="12.75">
      <c r="A310" s="60"/>
    </row>
    <row r="311" spans="1:1" ht="12.75">
      <c r="A311" s="60"/>
    </row>
    <row r="312" spans="1:1" ht="12.75">
      <c r="A312" s="60"/>
    </row>
    <row r="313" spans="1:1" ht="12.75">
      <c r="A313" s="60"/>
    </row>
    <row r="314" spans="1:1" ht="12.75">
      <c r="A314" s="60"/>
    </row>
    <row r="315" spans="1:1" ht="12.75">
      <c r="A315" s="60"/>
    </row>
    <row r="316" spans="1:1" ht="12.75">
      <c r="A316" s="60"/>
    </row>
    <row r="317" spans="1:1" ht="12.75">
      <c r="A317" s="60"/>
    </row>
    <row r="318" spans="1:1" ht="12.75">
      <c r="A318" s="60"/>
    </row>
    <row r="319" spans="1:1" ht="12.75">
      <c r="A319" s="60"/>
    </row>
    <row r="320" spans="1:1" ht="12.75">
      <c r="A320" s="60"/>
    </row>
    <row r="321" spans="1:1" ht="12.75">
      <c r="A321" s="60"/>
    </row>
    <row r="322" spans="1:1" ht="12.75">
      <c r="A322" s="60"/>
    </row>
    <row r="323" spans="1:1" ht="12.75">
      <c r="A323" s="60"/>
    </row>
    <row r="324" spans="1:1" ht="12.75">
      <c r="A324" s="60"/>
    </row>
    <row r="325" spans="1:1" ht="12.75">
      <c r="A325" s="60"/>
    </row>
    <row r="326" spans="1:1" ht="12.75">
      <c r="A326" s="60"/>
    </row>
    <row r="327" spans="1:1" ht="12.75">
      <c r="A327" s="60"/>
    </row>
    <row r="328" spans="1:1" ht="12.75">
      <c r="A328" s="60"/>
    </row>
    <row r="329" spans="1:1" ht="12.75">
      <c r="A329" s="60"/>
    </row>
    <row r="330" spans="1:1" ht="12.75">
      <c r="A330" s="60"/>
    </row>
    <row r="331" spans="1:1" ht="12.75">
      <c r="A331" s="60"/>
    </row>
    <row r="332" spans="1:1" ht="12.75">
      <c r="A332" s="60"/>
    </row>
    <row r="333" spans="1:1" ht="12.75">
      <c r="A333" s="60"/>
    </row>
    <row r="334" spans="1:1" ht="12.75">
      <c r="A334" s="60"/>
    </row>
    <row r="335" spans="1:1" ht="12.75">
      <c r="A335" s="60"/>
    </row>
    <row r="336" spans="1:1" ht="12.75">
      <c r="A336" s="60"/>
    </row>
    <row r="337" spans="1:1" ht="12.75">
      <c r="A337" s="60"/>
    </row>
    <row r="338" spans="1:1" ht="12.75">
      <c r="A338" s="60"/>
    </row>
    <row r="339" spans="1:1" ht="12.75">
      <c r="A339" s="60"/>
    </row>
    <row r="340" spans="1:1" ht="12.75">
      <c r="A340" s="60"/>
    </row>
    <row r="341" spans="1:1" ht="12.75">
      <c r="A341" s="60"/>
    </row>
    <row r="342" spans="1:1" ht="12.75">
      <c r="A342" s="60"/>
    </row>
    <row r="343" spans="1:1" ht="12.75">
      <c r="A343" s="60"/>
    </row>
    <row r="344" spans="1:1" ht="12.75">
      <c r="A344" s="60"/>
    </row>
    <row r="345" spans="1:1" ht="12.75">
      <c r="A345" s="60"/>
    </row>
    <row r="346" spans="1:1" ht="12.75">
      <c r="A346" s="60"/>
    </row>
    <row r="347" spans="1:1" ht="12.75">
      <c r="A347" s="60"/>
    </row>
    <row r="348" spans="1:1" ht="12.75">
      <c r="A348" s="60"/>
    </row>
    <row r="349" spans="1:1" ht="12.75">
      <c r="A349" s="60"/>
    </row>
    <row r="350" spans="1:1" ht="12.75">
      <c r="A350" s="60"/>
    </row>
    <row r="351" spans="1:1" ht="12.75">
      <c r="A351" s="60"/>
    </row>
    <row r="352" spans="1:1" ht="12.75">
      <c r="A352" s="60"/>
    </row>
    <row r="353" spans="1:1" ht="12.75">
      <c r="A353" s="60"/>
    </row>
    <row r="354" spans="1:1" ht="12.75">
      <c r="A354" s="60"/>
    </row>
    <row r="355" spans="1:1" ht="12.75">
      <c r="A355" s="60"/>
    </row>
    <row r="356" spans="1:1" ht="12.75">
      <c r="A356" s="60"/>
    </row>
    <row r="357" spans="1:1" ht="12.75">
      <c r="A357" s="60"/>
    </row>
    <row r="358" spans="1:1" ht="12.75">
      <c r="A358" s="60"/>
    </row>
    <row r="359" spans="1:1" ht="12.75">
      <c r="A359" s="60"/>
    </row>
    <row r="360" spans="1:1" ht="12.75">
      <c r="A360" s="60"/>
    </row>
    <row r="361" spans="1:1" ht="12.75">
      <c r="A361" s="60"/>
    </row>
    <row r="362" spans="1:1" ht="12.75">
      <c r="A362" s="60"/>
    </row>
    <row r="363" spans="1:1" ht="12.75">
      <c r="A363" s="60"/>
    </row>
    <row r="364" spans="1:1" ht="12.75">
      <c r="A364" s="60"/>
    </row>
    <row r="365" spans="1:1" ht="12.75">
      <c r="A365" s="60"/>
    </row>
    <row r="366" spans="1:1" ht="12.75">
      <c r="A366" s="60"/>
    </row>
    <row r="367" spans="1:1" ht="12.75">
      <c r="A367" s="60"/>
    </row>
    <row r="368" spans="1:1" ht="12.75">
      <c r="A368" s="60"/>
    </row>
    <row r="369" spans="1:1" ht="12.75">
      <c r="A369" s="60"/>
    </row>
    <row r="370" spans="1:1" ht="12.75">
      <c r="A370" s="60"/>
    </row>
    <row r="371" spans="1:1" ht="12.75">
      <c r="A371" s="60"/>
    </row>
    <row r="372" spans="1:1" ht="12.75">
      <c r="A372" s="60"/>
    </row>
    <row r="373" spans="1:1" ht="12.75">
      <c r="A373" s="60"/>
    </row>
    <row r="374" spans="1:1" ht="12.75">
      <c r="A374" s="60"/>
    </row>
    <row r="375" spans="1:1" ht="12.75">
      <c r="A375" s="60"/>
    </row>
    <row r="376" spans="1:1" ht="12.75">
      <c r="A376" s="60"/>
    </row>
    <row r="377" spans="1:1" ht="12.75">
      <c r="A377" s="60"/>
    </row>
    <row r="378" spans="1:1" ht="12.75">
      <c r="A378" s="60"/>
    </row>
    <row r="379" spans="1:1" ht="12.75">
      <c r="A379" s="60"/>
    </row>
    <row r="380" spans="1:1" ht="12.75">
      <c r="A380" s="60"/>
    </row>
    <row r="381" spans="1:1" ht="12.75">
      <c r="A381" s="60"/>
    </row>
    <row r="382" spans="1:1" ht="12.75">
      <c r="A382" s="60"/>
    </row>
    <row r="383" spans="1:1" ht="12.75">
      <c r="A383" s="60"/>
    </row>
    <row r="384" spans="1:1" ht="12.75">
      <c r="A384" s="60"/>
    </row>
    <row r="385" spans="1:1" ht="12.75">
      <c r="A385" s="60"/>
    </row>
    <row r="386" spans="1:1" ht="12.75">
      <c r="A386" s="60"/>
    </row>
    <row r="387" spans="1:1" ht="12.75">
      <c r="A387" s="60"/>
    </row>
    <row r="388" spans="1:1" ht="12.75">
      <c r="A388" s="60"/>
    </row>
    <row r="389" spans="1:1" ht="12.75">
      <c r="A389" s="60"/>
    </row>
    <row r="390" spans="1:1" ht="12.75">
      <c r="A390" s="60"/>
    </row>
    <row r="391" spans="1:1" ht="12.75">
      <c r="A391" s="60"/>
    </row>
    <row r="392" spans="1:1" ht="12.75">
      <c r="A392" s="60"/>
    </row>
    <row r="393" spans="1:1" ht="12.75">
      <c r="A393" s="60"/>
    </row>
    <row r="394" spans="1:1" ht="12.75">
      <c r="A394" s="60"/>
    </row>
    <row r="395" spans="1:1" ht="12.75">
      <c r="A395" s="60"/>
    </row>
    <row r="396" spans="1:1" ht="12.75">
      <c r="A396" s="60"/>
    </row>
    <row r="397" spans="1:1" ht="12.75">
      <c r="A397" s="60"/>
    </row>
    <row r="398" spans="1:1" ht="12.75">
      <c r="A398" s="60"/>
    </row>
    <row r="399" spans="1:1" ht="12.75">
      <c r="A399" s="60"/>
    </row>
    <row r="400" spans="1:1" ht="12.75">
      <c r="A400" s="60"/>
    </row>
    <row r="401" spans="1:1" ht="12.75">
      <c r="A401" s="60"/>
    </row>
    <row r="402" spans="1:1" ht="12.75">
      <c r="A402" s="60"/>
    </row>
    <row r="403" spans="1:1" ht="12.75">
      <c r="A403" s="60"/>
    </row>
    <row r="404" spans="1:1" ht="12.75">
      <c r="A404" s="60"/>
    </row>
    <row r="405" spans="1:1" ht="12.75">
      <c r="A405" s="60"/>
    </row>
    <row r="406" spans="1:1" ht="12.75">
      <c r="A406" s="60"/>
    </row>
    <row r="407" spans="1:1" ht="12.75">
      <c r="A407" s="60"/>
    </row>
    <row r="408" spans="1:1" ht="12.75">
      <c r="A408" s="60"/>
    </row>
    <row r="409" spans="1:1" ht="12.75">
      <c r="A409" s="60"/>
    </row>
    <row r="410" spans="1:1" ht="12.75">
      <c r="A410" s="60"/>
    </row>
    <row r="411" spans="1:1" ht="12.75">
      <c r="A411" s="60"/>
    </row>
    <row r="412" spans="1:1" ht="12.75">
      <c r="A412" s="60"/>
    </row>
    <row r="413" spans="1:1" ht="12.75">
      <c r="A413" s="60"/>
    </row>
    <row r="414" spans="1:1" ht="12.75">
      <c r="A414" s="60"/>
    </row>
    <row r="415" spans="1:1" ht="12.75">
      <c r="A415" s="60"/>
    </row>
    <row r="416" spans="1:1" ht="12.75">
      <c r="A416" s="60"/>
    </row>
    <row r="417" spans="1:1" ht="12.75">
      <c r="A417" s="60"/>
    </row>
    <row r="418" spans="1:1" ht="12.75">
      <c r="A418" s="60"/>
    </row>
    <row r="419" spans="1:1" ht="12.75">
      <c r="A419" s="60"/>
    </row>
    <row r="420" spans="1:1" ht="12.75">
      <c r="A420" s="60"/>
    </row>
    <row r="421" spans="1:1" ht="12.75">
      <c r="A421" s="60"/>
    </row>
    <row r="422" spans="1:1" ht="12.75">
      <c r="A422" s="60"/>
    </row>
    <row r="423" spans="1:1" ht="12.75">
      <c r="A423" s="60"/>
    </row>
    <row r="424" spans="1:1" ht="12.75">
      <c r="A424" s="60"/>
    </row>
    <row r="425" spans="1:1" ht="12.75">
      <c r="A425" s="60"/>
    </row>
    <row r="426" spans="1:1" ht="12.75">
      <c r="A426" s="60"/>
    </row>
    <row r="427" spans="1:1" ht="12.75">
      <c r="A427" s="60"/>
    </row>
    <row r="428" spans="1:1" ht="12.75">
      <c r="A428" s="60"/>
    </row>
    <row r="429" spans="1:1" ht="12.75">
      <c r="A429" s="60"/>
    </row>
    <row r="430" spans="1:1" ht="12.75">
      <c r="A430" s="60"/>
    </row>
    <row r="431" spans="1:1" ht="12.75">
      <c r="A431" s="60"/>
    </row>
    <row r="432" spans="1:1" ht="12.75">
      <c r="A432" s="60"/>
    </row>
    <row r="433" spans="1:1" ht="12.75">
      <c r="A433" s="60"/>
    </row>
    <row r="434" spans="1:1" ht="12.75">
      <c r="A434" s="60"/>
    </row>
    <row r="435" spans="1:1" ht="12.75">
      <c r="A435" s="60"/>
    </row>
    <row r="436" spans="1:1" ht="12.75">
      <c r="A436" s="60"/>
    </row>
    <row r="437" spans="1:1" ht="12.75">
      <c r="A437" s="60"/>
    </row>
    <row r="438" spans="1:1" ht="12.75">
      <c r="A438" s="60"/>
    </row>
    <row r="439" spans="1:1" ht="12.75">
      <c r="A439" s="60"/>
    </row>
    <row r="440" spans="1:1" ht="12.75">
      <c r="A440" s="60"/>
    </row>
    <row r="441" spans="1:1" ht="12.75">
      <c r="A441" s="60"/>
    </row>
    <row r="442" spans="1:1" ht="12.75">
      <c r="A442" s="60"/>
    </row>
    <row r="443" spans="1:1" ht="12.75">
      <c r="A443" s="60"/>
    </row>
    <row r="444" spans="1:1" ht="12.75">
      <c r="A444" s="60"/>
    </row>
    <row r="445" spans="1:1" ht="12.75">
      <c r="A445" s="60"/>
    </row>
    <row r="446" spans="1:1" ht="12.75">
      <c r="A446" s="60"/>
    </row>
    <row r="447" spans="1:1" ht="12.75">
      <c r="A447" s="60"/>
    </row>
    <row r="448" spans="1:1" ht="12.75">
      <c r="A448" s="60"/>
    </row>
    <row r="449" spans="1:1" ht="12.75">
      <c r="A449" s="60"/>
    </row>
    <row r="450" spans="1:1" ht="12.75">
      <c r="A450" s="60"/>
    </row>
    <row r="451" spans="1:1" ht="12.75">
      <c r="A451" s="60"/>
    </row>
    <row r="452" spans="1:1" ht="12.75">
      <c r="A452" s="60"/>
    </row>
    <row r="453" spans="1:1" ht="12.75">
      <c r="A453" s="60"/>
    </row>
    <row r="454" spans="1:1" ht="12.75">
      <c r="A454" s="60"/>
    </row>
    <row r="455" spans="1:1" ht="12.75">
      <c r="A455" s="60"/>
    </row>
    <row r="456" spans="1:1" ht="12.75">
      <c r="A456" s="60"/>
    </row>
    <row r="457" spans="1:1" ht="12.75">
      <c r="A457" s="60"/>
    </row>
    <row r="458" spans="1:1" ht="12.75">
      <c r="A458" s="60"/>
    </row>
    <row r="459" spans="1:1" ht="12.75">
      <c r="A459" s="60"/>
    </row>
    <row r="460" spans="1:1" ht="12.75">
      <c r="A460" s="60"/>
    </row>
    <row r="461" spans="1:1" ht="12.75">
      <c r="A461" s="60"/>
    </row>
    <row r="462" spans="1:1" ht="12.75">
      <c r="A462" s="60"/>
    </row>
    <row r="463" spans="1:1" ht="12.75">
      <c r="A463" s="60"/>
    </row>
    <row r="464" spans="1:1" ht="12.75">
      <c r="A464" s="60"/>
    </row>
    <row r="465" spans="1:1" ht="12.75">
      <c r="A465" s="60"/>
    </row>
    <row r="466" spans="1:1" ht="12.75">
      <c r="A466" s="60"/>
    </row>
    <row r="467" spans="1:1" ht="12.75">
      <c r="A467" s="60"/>
    </row>
    <row r="468" spans="1:1" ht="12.75">
      <c r="A468" s="60"/>
    </row>
    <row r="469" spans="1:1" ht="12.75">
      <c r="A469" s="60"/>
    </row>
    <row r="470" spans="1:1" ht="12.75">
      <c r="A470" s="60"/>
    </row>
    <row r="471" spans="1:1" ht="12.75">
      <c r="A471" s="60"/>
    </row>
    <row r="472" spans="1:1" ht="12.75">
      <c r="A472" s="60"/>
    </row>
    <row r="473" spans="1:1" ht="12.75">
      <c r="A473" s="60"/>
    </row>
    <row r="474" spans="1:1" ht="12.75">
      <c r="A474" s="60"/>
    </row>
    <row r="475" spans="1:1" ht="12.75">
      <c r="A475" s="60"/>
    </row>
    <row r="476" spans="1:1" ht="12.75">
      <c r="A476" s="60"/>
    </row>
    <row r="477" spans="1:1" ht="12.75">
      <c r="A477" s="60"/>
    </row>
    <row r="478" spans="1:1" ht="12.75">
      <c r="A478" s="60"/>
    </row>
    <row r="479" spans="1:1" ht="12.75">
      <c r="A479" s="60"/>
    </row>
    <row r="480" spans="1:1" ht="12.75">
      <c r="A480" s="60"/>
    </row>
    <row r="481" spans="1:1" ht="12.75">
      <c r="A481" s="60"/>
    </row>
    <row r="482" spans="1:1" ht="12.75">
      <c r="A482" s="60"/>
    </row>
    <row r="483" spans="1:1" ht="12.75">
      <c r="A483" s="60"/>
    </row>
    <row r="484" spans="1:1" ht="12.75">
      <c r="A484" s="60"/>
    </row>
    <row r="485" spans="1:1" ht="12.75">
      <c r="A485" s="60"/>
    </row>
    <row r="486" spans="1:1" ht="12.75">
      <c r="A486" s="60"/>
    </row>
    <row r="487" spans="1:1" ht="12.75">
      <c r="A487" s="60"/>
    </row>
    <row r="488" spans="1:1" ht="12.75">
      <c r="A488" s="60"/>
    </row>
    <row r="489" spans="1:1" ht="12.75">
      <c r="A489" s="60"/>
    </row>
    <row r="490" spans="1:1" ht="12.75">
      <c r="A490" s="60"/>
    </row>
    <row r="491" spans="1:1" ht="12.75">
      <c r="A491" s="60"/>
    </row>
    <row r="492" spans="1:1" ht="12.75">
      <c r="A492" s="60"/>
    </row>
    <row r="493" spans="1:1" ht="12.75">
      <c r="A493" s="60"/>
    </row>
    <row r="494" spans="1:1" ht="12.75">
      <c r="A494" s="60"/>
    </row>
    <row r="495" spans="1:1" ht="12.75">
      <c r="A495" s="60"/>
    </row>
    <row r="496" spans="1:1" ht="12.75">
      <c r="A496" s="60"/>
    </row>
    <row r="497" spans="1:1" ht="12.75">
      <c r="A497" s="60"/>
    </row>
    <row r="498" spans="1:1" ht="12.75">
      <c r="A498" s="60"/>
    </row>
    <row r="499" spans="1:1" ht="12.75">
      <c r="A499" s="60"/>
    </row>
    <row r="500" spans="1:1" ht="12.75">
      <c r="A500" s="60"/>
    </row>
    <row r="501" spans="1:1" ht="12.75">
      <c r="A501" s="60"/>
    </row>
    <row r="502" spans="1:1" ht="12.75">
      <c r="A502" s="60"/>
    </row>
    <row r="503" spans="1:1" ht="12.75">
      <c r="A503" s="60"/>
    </row>
    <row r="504" spans="1:1" ht="12.75">
      <c r="A504" s="60"/>
    </row>
    <row r="505" spans="1:1" ht="12.75">
      <c r="A505" s="60"/>
    </row>
    <row r="506" spans="1:1" ht="12.75">
      <c r="A506" s="60"/>
    </row>
    <row r="507" spans="1:1" ht="12.75">
      <c r="A507" s="60"/>
    </row>
    <row r="508" spans="1:1" ht="12.75">
      <c r="A508" s="60"/>
    </row>
    <row r="509" spans="1:1" ht="12.75">
      <c r="A509" s="60"/>
    </row>
    <row r="510" spans="1:1" ht="12.75">
      <c r="A510" s="60"/>
    </row>
    <row r="511" spans="1:1" ht="12.75">
      <c r="A511" s="60"/>
    </row>
    <row r="512" spans="1:1" ht="12.75">
      <c r="A512" s="60"/>
    </row>
    <row r="513" spans="1:1" ht="12.75">
      <c r="A513" s="60"/>
    </row>
    <row r="514" spans="1:1" ht="12.75">
      <c r="A514" s="60"/>
    </row>
    <row r="515" spans="1:1" ht="12.75">
      <c r="A515" s="60"/>
    </row>
    <row r="516" spans="1:1" ht="12.75">
      <c r="A516" s="60"/>
    </row>
    <row r="517" spans="1:1" ht="12.75">
      <c r="A517" s="60"/>
    </row>
    <row r="518" spans="1:1" ht="12.75">
      <c r="A518" s="60"/>
    </row>
    <row r="519" spans="1:1" ht="12.75">
      <c r="A519" s="60"/>
    </row>
    <row r="520" spans="1:1" ht="12.75">
      <c r="A520" s="60"/>
    </row>
    <row r="521" spans="1:1" ht="12.75">
      <c r="A521" s="60"/>
    </row>
    <row r="522" spans="1:1" ht="12.75">
      <c r="A522" s="60"/>
    </row>
    <row r="523" spans="1:1" ht="12.75">
      <c r="A523" s="60"/>
    </row>
    <row r="524" spans="1:1" ht="12.75">
      <c r="A524" s="60"/>
    </row>
    <row r="525" spans="1:1" ht="12.75">
      <c r="A525" s="60"/>
    </row>
    <row r="526" spans="1:1" ht="12.75">
      <c r="A526" s="60"/>
    </row>
    <row r="527" spans="1:1" ht="12.75">
      <c r="A527" s="60"/>
    </row>
    <row r="528" spans="1:1" ht="12.75">
      <c r="A528" s="60"/>
    </row>
    <row r="529" spans="1:1" ht="12.75">
      <c r="A529" s="60"/>
    </row>
    <row r="530" spans="1:1" ht="12.75">
      <c r="A530" s="60"/>
    </row>
    <row r="531" spans="1:1" ht="12.75">
      <c r="A531" s="60"/>
    </row>
    <row r="532" spans="1:1" ht="12.75">
      <c r="A532" s="60"/>
    </row>
    <row r="533" spans="1:1" ht="12.75">
      <c r="A533" s="60"/>
    </row>
    <row r="534" spans="1:1" ht="12.75">
      <c r="A534" s="60"/>
    </row>
    <row r="535" spans="1:1" ht="12.75">
      <c r="A535" s="60"/>
    </row>
    <row r="536" spans="1:1" ht="12.75">
      <c r="A536" s="60"/>
    </row>
    <row r="537" spans="1:1" ht="12.75">
      <c r="A537" s="60"/>
    </row>
    <row r="538" spans="1:1" ht="12.75">
      <c r="A538" s="60"/>
    </row>
    <row r="539" spans="1:1" ht="12.75">
      <c r="A539" s="60"/>
    </row>
    <row r="540" spans="1:1" ht="12.75">
      <c r="A540" s="60"/>
    </row>
    <row r="541" spans="1:1" ht="12.75">
      <c r="A541" s="60"/>
    </row>
    <row r="542" spans="1:1" ht="12.75">
      <c r="A542" s="60"/>
    </row>
    <row r="543" spans="1:1" ht="12.75">
      <c r="A543" s="60"/>
    </row>
    <row r="544" spans="1:1" ht="12.75">
      <c r="A544" s="60"/>
    </row>
    <row r="545" spans="1:1" ht="12.75">
      <c r="A545" s="60"/>
    </row>
    <row r="546" spans="1:1" ht="12.75">
      <c r="A546" s="60"/>
    </row>
    <row r="547" spans="1:1" ht="12.75">
      <c r="A547" s="60"/>
    </row>
    <row r="548" spans="1:1" ht="12.75">
      <c r="A548" s="60"/>
    </row>
    <row r="549" spans="1:1" ht="12.75">
      <c r="A549" s="60"/>
    </row>
    <row r="550" spans="1:1" ht="12.75">
      <c r="A550" s="60"/>
    </row>
    <row r="551" spans="1:1" ht="12.75">
      <c r="A551" s="60"/>
    </row>
    <row r="552" spans="1:1" ht="12.75">
      <c r="A552" s="60"/>
    </row>
    <row r="553" spans="1:1" ht="12.75">
      <c r="A553" s="60"/>
    </row>
    <row r="554" spans="1:1" ht="12.75">
      <c r="A554" s="60"/>
    </row>
    <row r="555" spans="1:1" ht="12.75">
      <c r="A555" s="60"/>
    </row>
    <row r="556" spans="1:1" ht="12.75">
      <c r="A556" s="60"/>
    </row>
    <row r="557" spans="1:1" ht="12.75">
      <c r="A557" s="60"/>
    </row>
    <row r="558" spans="1:1" ht="12.75">
      <c r="A558" s="60"/>
    </row>
    <row r="559" spans="1:1" ht="12.75">
      <c r="A559" s="60"/>
    </row>
    <row r="560" spans="1:1" ht="12.75">
      <c r="A560" s="60"/>
    </row>
    <row r="561" spans="1:1" ht="12.75">
      <c r="A561" s="60"/>
    </row>
    <row r="562" spans="1:1" ht="12.75">
      <c r="A562" s="60"/>
    </row>
    <row r="563" spans="1:1" ht="12.75">
      <c r="A563" s="60"/>
    </row>
    <row r="564" spans="1:1" ht="12.75">
      <c r="A564" s="60"/>
    </row>
    <row r="565" spans="1:1" ht="12.75">
      <c r="A565" s="60"/>
    </row>
    <row r="566" spans="1:1" ht="12.75">
      <c r="A566" s="60"/>
    </row>
    <row r="567" spans="1:1" ht="12.75">
      <c r="A567" s="60"/>
    </row>
    <row r="568" spans="1:1" ht="12.75">
      <c r="A568" s="60"/>
    </row>
    <row r="569" spans="1:1" ht="12.75">
      <c r="A569" s="60"/>
    </row>
    <row r="570" spans="1:1" ht="12.75">
      <c r="A570" s="60"/>
    </row>
    <row r="571" spans="1:1" ht="12.75">
      <c r="A571" s="60"/>
    </row>
    <row r="572" spans="1:1" ht="12.75">
      <c r="A572" s="60"/>
    </row>
    <row r="573" spans="1:1" ht="12.75">
      <c r="A573" s="60"/>
    </row>
    <row r="574" spans="1:1" ht="12.75">
      <c r="A574" s="60"/>
    </row>
    <row r="575" spans="1:1" ht="12.75">
      <c r="A575" s="60"/>
    </row>
    <row r="576" spans="1:1" ht="12.75">
      <c r="A576" s="60"/>
    </row>
    <row r="577" spans="1:1" ht="12.75">
      <c r="A577" s="60"/>
    </row>
    <row r="578" spans="1:1" ht="12.75">
      <c r="A578" s="60"/>
    </row>
    <row r="579" spans="1:1" ht="12.75">
      <c r="A579" s="60"/>
    </row>
    <row r="580" spans="1:1" ht="12.75">
      <c r="A580" s="60"/>
    </row>
    <row r="581" spans="1:1" ht="12.75">
      <c r="A581" s="60"/>
    </row>
    <row r="582" spans="1:1" ht="12.75">
      <c r="A582" s="60"/>
    </row>
    <row r="583" spans="1:1" ht="12.75">
      <c r="A583" s="60"/>
    </row>
    <row r="584" spans="1:1" ht="12.75">
      <c r="A584" s="60"/>
    </row>
    <row r="585" spans="1:1" ht="12.75">
      <c r="A585" s="60"/>
    </row>
    <row r="586" spans="1:1" ht="12.75">
      <c r="A586" s="60"/>
    </row>
    <row r="587" spans="1:1" ht="12.75">
      <c r="A587" s="60"/>
    </row>
    <row r="588" spans="1:1" ht="12.75">
      <c r="A588" s="60"/>
    </row>
    <row r="589" spans="1:1" ht="12.75">
      <c r="A589" s="60"/>
    </row>
    <row r="590" spans="1:1" ht="12.75">
      <c r="A590" s="60"/>
    </row>
    <row r="591" spans="1:1" ht="12.75">
      <c r="A591" s="60"/>
    </row>
    <row r="592" spans="1:1" ht="12.75">
      <c r="A592" s="60"/>
    </row>
    <row r="593" spans="1:1" ht="12.75">
      <c r="A593" s="60"/>
    </row>
    <row r="594" spans="1:1" ht="12.75">
      <c r="A594" s="60"/>
    </row>
    <row r="595" spans="1:1" ht="12.75">
      <c r="A595" s="60"/>
    </row>
    <row r="596" spans="1:1" ht="12.75">
      <c r="A596" s="60"/>
    </row>
    <row r="597" spans="1:1" ht="12.75">
      <c r="A597" s="60"/>
    </row>
    <row r="598" spans="1:1" ht="12.75">
      <c r="A598" s="60"/>
    </row>
    <row r="599" spans="1:1" ht="12.75">
      <c r="A599" s="60"/>
    </row>
    <row r="600" spans="1:1" ht="12.75">
      <c r="A600" s="60"/>
    </row>
    <row r="601" spans="1:1" ht="12.75">
      <c r="A601" s="60"/>
    </row>
    <row r="602" spans="1:1" ht="12.75">
      <c r="A602" s="60"/>
    </row>
    <row r="603" spans="1:1" ht="12.75">
      <c r="A603" s="60"/>
    </row>
    <row r="604" spans="1:1" ht="12.75">
      <c r="A604" s="60"/>
    </row>
    <row r="605" spans="1:1" ht="12.75">
      <c r="A605" s="60"/>
    </row>
    <row r="606" spans="1:1" ht="12.75">
      <c r="A606" s="60"/>
    </row>
    <row r="607" spans="1:1" ht="12.75">
      <c r="A607" s="60"/>
    </row>
    <row r="608" spans="1:1" ht="12.75">
      <c r="A608" s="60"/>
    </row>
    <row r="609" spans="1:1" ht="12.75">
      <c r="A609" s="60"/>
    </row>
    <row r="610" spans="1:1" ht="12.75">
      <c r="A610" s="60"/>
    </row>
    <row r="611" spans="1:1" ht="12.75">
      <c r="A611" s="60"/>
    </row>
    <row r="612" spans="1:1" ht="12.75">
      <c r="A612" s="60"/>
    </row>
    <row r="613" spans="1:1" ht="12.75">
      <c r="A613" s="60"/>
    </row>
    <row r="614" spans="1:1" ht="12.75">
      <c r="A614" s="60"/>
    </row>
    <row r="615" spans="1:1" ht="12.75">
      <c r="A615" s="60"/>
    </row>
    <row r="616" spans="1:1" ht="12.75">
      <c r="A616" s="60"/>
    </row>
    <row r="617" spans="1:1" ht="12.75">
      <c r="A617" s="60"/>
    </row>
    <row r="618" spans="1:1" ht="12.75">
      <c r="A618" s="60"/>
    </row>
    <row r="619" spans="1:1" ht="12.75">
      <c r="A619" s="60"/>
    </row>
    <row r="620" spans="1:1" ht="12.75">
      <c r="A620" s="60"/>
    </row>
    <row r="621" spans="1:1" ht="12.75">
      <c r="A621" s="60"/>
    </row>
    <row r="622" spans="1:1" ht="12.75">
      <c r="A622" s="60"/>
    </row>
    <row r="623" spans="1:1" ht="12.75">
      <c r="A623" s="60"/>
    </row>
    <row r="624" spans="1:1" ht="12.75">
      <c r="A624" s="60"/>
    </row>
    <row r="625" spans="1:1" ht="12.75">
      <c r="A625" s="60"/>
    </row>
    <row r="626" spans="1:1" ht="12.75">
      <c r="A626" s="60"/>
    </row>
    <row r="627" spans="1:1" ht="12.75">
      <c r="A627" s="60"/>
    </row>
    <row r="628" spans="1:1" ht="12.75">
      <c r="A628" s="60"/>
    </row>
    <row r="629" spans="1:1" ht="12.75">
      <c r="A629" s="60"/>
    </row>
    <row r="630" spans="1:1" ht="12.75">
      <c r="A630" s="60"/>
    </row>
    <row r="631" spans="1:1" ht="12.75">
      <c r="A631" s="60"/>
    </row>
    <row r="632" spans="1:1" ht="12.75">
      <c r="A632" s="60"/>
    </row>
    <row r="633" spans="1:1" ht="12.75">
      <c r="A633" s="60"/>
    </row>
    <row r="634" spans="1:1" ht="12.75">
      <c r="A634" s="60"/>
    </row>
    <row r="635" spans="1:1" ht="12.75">
      <c r="A635" s="60"/>
    </row>
    <row r="636" spans="1:1" ht="12.75">
      <c r="A636" s="60"/>
    </row>
    <row r="637" spans="1:1" ht="12.75">
      <c r="A637" s="60"/>
    </row>
    <row r="638" spans="1:1" ht="12.75">
      <c r="A638" s="60"/>
    </row>
    <row r="639" spans="1:1" ht="12.75">
      <c r="A639" s="60"/>
    </row>
    <row r="640" spans="1:1" ht="12.75">
      <c r="A640" s="60"/>
    </row>
    <row r="641" spans="1:1" ht="12.75">
      <c r="A641" s="60"/>
    </row>
    <row r="642" spans="1:1" ht="12.75">
      <c r="A642" s="60"/>
    </row>
    <row r="643" spans="1:1" ht="12.75">
      <c r="A643" s="60"/>
    </row>
    <row r="644" spans="1:1" ht="12.75">
      <c r="A644" s="60"/>
    </row>
    <row r="645" spans="1:1" ht="12.75">
      <c r="A645" s="60"/>
    </row>
    <row r="646" spans="1:1" ht="12.75">
      <c r="A646" s="60"/>
    </row>
    <row r="647" spans="1:1" ht="12.75">
      <c r="A647" s="60"/>
    </row>
    <row r="648" spans="1:1" ht="12.75">
      <c r="A648" s="60"/>
    </row>
    <row r="649" spans="1:1" ht="12.75">
      <c r="A649" s="60"/>
    </row>
    <row r="650" spans="1:1" ht="12.75">
      <c r="A650" s="60"/>
    </row>
    <row r="651" spans="1:1" ht="12.75">
      <c r="A651" s="60"/>
    </row>
    <row r="652" spans="1:1" ht="12.75">
      <c r="A652" s="60"/>
    </row>
    <row r="653" spans="1:1" ht="12.75">
      <c r="A653" s="60"/>
    </row>
    <row r="654" spans="1:1" ht="12.75">
      <c r="A654" s="60"/>
    </row>
    <row r="655" spans="1:1" ht="12.75">
      <c r="A655" s="60"/>
    </row>
    <row r="656" spans="1:1" ht="12.75">
      <c r="A656" s="60"/>
    </row>
    <row r="657" spans="1:1" ht="12.75">
      <c r="A657" s="60"/>
    </row>
    <row r="658" spans="1:1" ht="12.75">
      <c r="A658" s="60"/>
    </row>
    <row r="659" spans="1:1" ht="12.75">
      <c r="A659" s="60"/>
    </row>
    <row r="660" spans="1:1" ht="12.75">
      <c r="A660" s="60"/>
    </row>
    <row r="661" spans="1:1" ht="12.75">
      <c r="A661" s="60"/>
    </row>
    <row r="662" spans="1:1" ht="12.75">
      <c r="A662" s="60"/>
    </row>
    <row r="663" spans="1:1" ht="12.75">
      <c r="A663" s="60"/>
    </row>
    <row r="664" spans="1:1" ht="12.75">
      <c r="A664" s="60"/>
    </row>
    <row r="665" spans="1:1" ht="12.75">
      <c r="A665" s="60"/>
    </row>
    <row r="666" spans="1:1" ht="12.75">
      <c r="A666" s="60"/>
    </row>
    <row r="667" spans="1:1" ht="12.75">
      <c r="A667" s="60"/>
    </row>
    <row r="668" spans="1:1" ht="12.75">
      <c r="A668" s="60"/>
    </row>
    <row r="669" spans="1:1" ht="12.75">
      <c r="A669" s="60"/>
    </row>
    <row r="670" spans="1:1" ht="12.75">
      <c r="A670" s="60"/>
    </row>
    <row r="671" spans="1:1" ht="12.75">
      <c r="A671" s="60"/>
    </row>
    <row r="672" spans="1:1" ht="12.75">
      <c r="A672" s="60"/>
    </row>
    <row r="673" spans="1:1" ht="12.75">
      <c r="A673" s="60"/>
    </row>
    <row r="674" spans="1:1" ht="12.75">
      <c r="A674" s="60"/>
    </row>
    <row r="675" spans="1:1" ht="12.75">
      <c r="A675" s="60"/>
    </row>
    <row r="676" spans="1:1" ht="12.75">
      <c r="A676" s="60"/>
    </row>
    <row r="677" spans="1:1" ht="12.75">
      <c r="A677" s="60"/>
    </row>
    <row r="678" spans="1:1" ht="12.75">
      <c r="A678" s="60"/>
    </row>
    <row r="679" spans="1:1" ht="12.75">
      <c r="A679" s="60"/>
    </row>
    <row r="680" spans="1:1" ht="12.75">
      <c r="A680" s="60"/>
    </row>
    <row r="681" spans="1:1" ht="12.75">
      <c r="A681" s="60"/>
    </row>
    <row r="682" spans="1:1" ht="12.75">
      <c r="A682" s="60"/>
    </row>
    <row r="683" spans="1:1" ht="12.75">
      <c r="A683" s="60"/>
    </row>
    <row r="684" spans="1:1" ht="12.75">
      <c r="A684" s="60"/>
    </row>
    <row r="685" spans="1:1" ht="12.75">
      <c r="A685" s="60"/>
    </row>
    <row r="686" spans="1:1" ht="12.75">
      <c r="A686" s="60"/>
    </row>
    <row r="687" spans="1:1" ht="12.75">
      <c r="A687" s="60"/>
    </row>
    <row r="688" spans="1:1" ht="12.75">
      <c r="A688" s="60"/>
    </row>
    <row r="689" spans="1:1" ht="12.75">
      <c r="A689" s="60"/>
    </row>
    <row r="690" spans="1:1" ht="12.75">
      <c r="A690" s="60"/>
    </row>
    <row r="691" spans="1:1" ht="12.75">
      <c r="A691" s="60"/>
    </row>
    <row r="692" spans="1:1" ht="12.75">
      <c r="A692" s="60"/>
    </row>
    <row r="693" spans="1:1" ht="12.75">
      <c r="A693" s="60"/>
    </row>
    <row r="694" spans="1:1" ht="12.75">
      <c r="A694" s="60"/>
    </row>
    <row r="695" spans="1:1" ht="12.75">
      <c r="A695" s="60"/>
    </row>
    <row r="696" spans="1:1" ht="12.75">
      <c r="A696" s="60"/>
    </row>
    <row r="697" spans="1:1" ht="12.75">
      <c r="A697" s="60"/>
    </row>
    <row r="698" spans="1:1" ht="12.75">
      <c r="A698" s="60"/>
    </row>
    <row r="699" spans="1:1" ht="12.75">
      <c r="A699" s="60"/>
    </row>
    <row r="700" spans="1:1" ht="12.75">
      <c r="A700" s="60"/>
    </row>
    <row r="701" spans="1:1" ht="12.75">
      <c r="A701" s="60"/>
    </row>
    <row r="702" spans="1:1" ht="12.75">
      <c r="A702" s="60"/>
    </row>
    <row r="703" spans="1:1" ht="12.75">
      <c r="A703" s="60"/>
    </row>
    <row r="704" spans="1:1" ht="12.75">
      <c r="A704" s="60"/>
    </row>
    <row r="705" spans="1:1" ht="12.75">
      <c r="A705" s="60"/>
    </row>
    <row r="706" spans="1:1" ht="12.75">
      <c r="A706" s="60"/>
    </row>
    <row r="707" spans="1:1" ht="12.75">
      <c r="A707" s="60"/>
    </row>
    <row r="708" spans="1:1" ht="12.75">
      <c r="A708" s="60"/>
    </row>
    <row r="709" spans="1:1" ht="12.75">
      <c r="A709" s="60"/>
    </row>
    <row r="710" spans="1:1" ht="12.75">
      <c r="A710" s="60"/>
    </row>
    <row r="711" spans="1:1" ht="12.75">
      <c r="A711" s="60"/>
    </row>
    <row r="712" spans="1:1" ht="12.75">
      <c r="A712" s="60"/>
    </row>
    <row r="713" spans="1:1" ht="12.75">
      <c r="A713" s="60"/>
    </row>
    <row r="714" spans="1:1" ht="12.75">
      <c r="A714" s="60"/>
    </row>
    <row r="715" spans="1:1" ht="12.75">
      <c r="A715" s="60"/>
    </row>
    <row r="716" spans="1:1" ht="12.75">
      <c r="A716" s="60"/>
    </row>
    <row r="717" spans="1:1" ht="12.75">
      <c r="A717" s="60"/>
    </row>
    <row r="718" spans="1:1" ht="12.75">
      <c r="A718" s="60"/>
    </row>
    <row r="719" spans="1:1" ht="12.75">
      <c r="A719" s="60"/>
    </row>
    <row r="720" spans="1:1" ht="12.75">
      <c r="A720" s="60"/>
    </row>
    <row r="721" spans="1:1" ht="12.75">
      <c r="A721" s="60"/>
    </row>
    <row r="722" spans="1:1" ht="12.75">
      <c r="A722" s="60"/>
    </row>
    <row r="723" spans="1:1" ht="12.75">
      <c r="A723" s="60"/>
    </row>
    <row r="724" spans="1:1" ht="12.75">
      <c r="A724" s="60"/>
    </row>
    <row r="725" spans="1:1" ht="12.75">
      <c r="A725" s="60"/>
    </row>
    <row r="726" spans="1:1" ht="12.75">
      <c r="A726" s="60"/>
    </row>
    <row r="727" spans="1:1" ht="12.75">
      <c r="A727" s="60"/>
    </row>
    <row r="728" spans="1:1" ht="12.75">
      <c r="A728" s="60"/>
    </row>
    <row r="729" spans="1:1" ht="12.75">
      <c r="A729" s="60"/>
    </row>
    <row r="730" spans="1:1" ht="12.75">
      <c r="A730" s="60"/>
    </row>
    <row r="731" spans="1:1" ht="12.75">
      <c r="A731" s="60"/>
    </row>
    <row r="732" spans="1:1" ht="12.75">
      <c r="A732" s="60"/>
    </row>
    <row r="733" spans="1:1" ht="12.75">
      <c r="A733" s="60"/>
    </row>
    <row r="734" spans="1:1" ht="12.75">
      <c r="A734" s="60"/>
    </row>
    <row r="735" spans="1:1" ht="12.75">
      <c r="A735" s="60"/>
    </row>
    <row r="736" spans="1:1" ht="12.75">
      <c r="A736" s="60"/>
    </row>
    <row r="737" spans="1:1" ht="12.75">
      <c r="A737" s="60"/>
    </row>
    <row r="738" spans="1:1" ht="12.75">
      <c r="A738" s="60"/>
    </row>
    <row r="739" spans="1:1" ht="12.75">
      <c r="A739" s="60"/>
    </row>
    <row r="740" spans="1:1" ht="12.75">
      <c r="A740" s="60"/>
    </row>
    <row r="741" spans="1:1" ht="12.75">
      <c r="A741" s="60"/>
    </row>
    <row r="742" spans="1:1" ht="12.75">
      <c r="A742" s="60"/>
    </row>
    <row r="743" spans="1:1" ht="12.75">
      <c r="A743" s="60"/>
    </row>
    <row r="744" spans="1:1" ht="12.75">
      <c r="A744" s="60"/>
    </row>
    <row r="745" spans="1:1" ht="12.75">
      <c r="A745" s="60"/>
    </row>
    <row r="746" spans="1:1" ht="12.75">
      <c r="A746" s="60"/>
    </row>
    <row r="747" spans="1:1" ht="12.75">
      <c r="A747" s="60"/>
    </row>
    <row r="748" spans="1:1" ht="12.75">
      <c r="A748" s="60"/>
    </row>
    <row r="749" spans="1:1" ht="12.75">
      <c r="A749" s="60"/>
    </row>
    <row r="750" spans="1:1" ht="12.75">
      <c r="A750" s="60"/>
    </row>
    <row r="751" spans="1:1" ht="12.75">
      <c r="A751" s="60"/>
    </row>
    <row r="752" spans="1:1" ht="12.75">
      <c r="A752" s="60"/>
    </row>
    <row r="753" spans="1:1" ht="12.75">
      <c r="A753" s="60"/>
    </row>
    <row r="754" spans="1:1" ht="12.75">
      <c r="A754" s="60"/>
    </row>
    <row r="755" spans="1:1" ht="12.75">
      <c r="A755" s="60"/>
    </row>
    <row r="756" spans="1:1" ht="12.75">
      <c r="A756" s="60"/>
    </row>
    <row r="757" spans="1:1" ht="12.75">
      <c r="A757" s="60"/>
    </row>
    <row r="758" spans="1:1" ht="12.75">
      <c r="A758" s="60"/>
    </row>
    <row r="759" spans="1:1" ht="12.75">
      <c r="A759" s="60"/>
    </row>
    <row r="760" spans="1:1" ht="12.75">
      <c r="A760" s="60"/>
    </row>
    <row r="761" spans="1:1" ht="12.75">
      <c r="A761" s="60"/>
    </row>
    <row r="762" spans="1:1" ht="12.75">
      <c r="A762" s="60"/>
    </row>
    <row r="763" spans="1:1" ht="12.75">
      <c r="A763" s="60"/>
    </row>
    <row r="764" spans="1:1" ht="12.75">
      <c r="A764" s="60"/>
    </row>
    <row r="765" spans="1:1" ht="12.75">
      <c r="A765" s="60"/>
    </row>
    <row r="766" spans="1:1" ht="12.75">
      <c r="A766" s="60"/>
    </row>
    <row r="767" spans="1:1" ht="12.75">
      <c r="A767" s="60"/>
    </row>
    <row r="768" spans="1:1" ht="12.75">
      <c r="A768" s="60"/>
    </row>
    <row r="769" spans="1:1" ht="12.75">
      <c r="A769" s="60"/>
    </row>
    <row r="770" spans="1:1" ht="12.75">
      <c r="A770" s="60"/>
    </row>
    <row r="771" spans="1:1" ht="12.75">
      <c r="A771" s="60"/>
    </row>
    <row r="772" spans="1:1" ht="12.75">
      <c r="A772" s="60"/>
    </row>
    <row r="773" spans="1:1" ht="12.75">
      <c r="A773" s="60"/>
    </row>
    <row r="774" spans="1:1" ht="12.75">
      <c r="A774" s="60"/>
    </row>
    <row r="775" spans="1:1" ht="12.75">
      <c r="A775" s="60"/>
    </row>
    <row r="776" spans="1:1" ht="12.75">
      <c r="A776" s="60"/>
    </row>
    <row r="777" spans="1:1" ht="12.75">
      <c r="A777" s="60"/>
    </row>
    <row r="778" spans="1:1" ht="12.75">
      <c r="A778" s="60"/>
    </row>
    <row r="779" spans="1:1" ht="12.75">
      <c r="A779" s="60"/>
    </row>
    <row r="780" spans="1:1" ht="12.75">
      <c r="A780" s="60"/>
    </row>
    <row r="781" spans="1:1" ht="12.75">
      <c r="A781" s="60"/>
    </row>
    <row r="782" spans="1:1" ht="12.75">
      <c r="A782" s="60"/>
    </row>
    <row r="783" spans="1:1" ht="12.75">
      <c r="A783" s="60"/>
    </row>
    <row r="784" spans="1:1" ht="12.75">
      <c r="A784" s="60"/>
    </row>
    <row r="785" spans="1:1" ht="12.75">
      <c r="A785" s="60"/>
    </row>
    <row r="786" spans="1:1" ht="12.75">
      <c r="A786" s="60"/>
    </row>
    <row r="787" spans="1:1" ht="12.75">
      <c r="A787" s="60"/>
    </row>
    <row r="788" spans="1:1" ht="12.75">
      <c r="A788" s="60"/>
    </row>
    <row r="789" spans="1:1" ht="12.75">
      <c r="A789" s="60"/>
    </row>
    <row r="790" spans="1:1" ht="12.75">
      <c r="A790" s="60"/>
    </row>
    <row r="791" spans="1:1" ht="12.75">
      <c r="A791" s="60"/>
    </row>
    <row r="792" spans="1:1" ht="12.75">
      <c r="A792" s="60"/>
    </row>
    <row r="793" spans="1:1" ht="12.75">
      <c r="A793" s="60"/>
    </row>
    <row r="794" spans="1:1" ht="12.75">
      <c r="A794" s="60"/>
    </row>
    <row r="795" spans="1:1" ht="12.75">
      <c r="A795" s="60"/>
    </row>
    <row r="796" spans="1:1" ht="12.75">
      <c r="A796" s="60"/>
    </row>
    <row r="797" spans="1:1" ht="12.75">
      <c r="A797" s="60"/>
    </row>
    <row r="798" spans="1:1" ht="12.75">
      <c r="A798" s="60"/>
    </row>
    <row r="799" spans="1:1" ht="12.75">
      <c r="A799" s="60"/>
    </row>
    <row r="800" spans="1:1" ht="12.75">
      <c r="A800" s="60"/>
    </row>
    <row r="801" spans="1:1" ht="12.75">
      <c r="A801" s="60"/>
    </row>
    <row r="802" spans="1:1" ht="12.75">
      <c r="A802" s="60"/>
    </row>
    <row r="803" spans="1:1" ht="12.75">
      <c r="A803" s="60"/>
    </row>
    <row r="804" spans="1:1" ht="12.75">
      <c r="A804" s="60"/>
    </row>
    <row r="805" spans="1:1" ht="12.75">
      <c r="A805" s="60"/>
    </row>
    <row r="806" spans="1:1" ht="12.75">
      <c r="A806" s="60"/>
    </row>
    <row r="807" spans="1:1" ht="12.75">
      <c r="A807" s="60"/>
    </row>
    <row r="808" spans="1:1" ht="12.75">
      <c r="A808" s="60"/>
    </row>
    <row r="809" spans="1:1" ht="12.75">
      <c r="A809" s="60"/>
    </row>
    <row r="810" spans="1:1" ht="12.75">
      <c r="A810" s="60"/>
    </row>
    <row r="811" spans="1:1" ht="12.75">
      <c r="A811" s="60"/>
    </row>
    <row r="812" spans="1:1" ht="12.75">
      <c r="A812" s="60"/>
    </row>
    <row r="813" spans="1:1" ht="12.75">
      <c r="A813" s="60"/>
    </row>
    <row r="814" spans="1:1" ht="12.75">
      <c r="A814" s="60"/>
    </row>
    <row r="815" spans="1:1" ht="12.75">
      <c r="A815" s="60"/>
    </row>
    <row r="816" spans="1:1" ht="12.75">
      <c r="A816" s="60"/>
    </row>
    <row r="817" spans="1:1" ht="12.75">
      <c r="A817" s="60"/>
    </row>
    <row r="818" spans="1:1" ht="12.75">
      <c r="A818" s="60"/>
    </row>
    <row r="819" spans="1:1" ht="12.75">
      <c r="A819" s="60"/>
    </row>
    <row r="820" spans="1:1" ht="12.75">
      <c r="A820" s="60"/>
    </row>
    <row r="821" spans="1:1" ht="12.75">
      <c r="A821" s="60"/>
    </row>
    <row r="822" spans="1:1" ht="12.75">
      <c r="A822" s="60"/>
    </row>
    <row r="823" spans="1:1" ht="12.75">
      <c r="A823" s="60"/>
    </row>
    <row r="824" spans="1:1" ht="12.75">
      <c r="A824" s="60"/>
    </row>
    <row r="825" spans="1:1" ht="12.75">
      <c r="A825" s="60"/>
    </row>
    <row r="826" spans="1:1" ht="12.75">
      <c r="A826" s="60"/>
    </row>
    <row r="827" spans="1:1" ht="12.75">
      <c r="A827" s="60"/>
    </row>
    <row r="828" spans="1:1" ht="12.75">
      <c r="A828" s="60"/>
    </row>
    <row r="829" spans="1:1" ht="12.75">
      <c r="A829" s="60"/>
    </row>
    <row r="830" spans="1:1" ht="12.75">
      <c r="A830" s="60"/>
    </row>
    <row r="831" spans="1:1" ht="12.75">
      <c r="A831" s="60"/>
    </row>
    <row r="832" spans="1:1" ht="12.75">
      <c r="A832" s="60"/>
    </row>
    <row r="833" spans="1:1" ht="12.75">
      <c r="A833" s="60"/>
    </row>
    <row r="834" spans="1:1" ht="12.75">
      <c r="A834" s="60"/>
    </row>
    <row r="835" spans="1:1" ht="12.75">
      <c r="A835" s="60"/>
    </row>
    <row r="836" spans="1:1" ht="12.75">
      <c r="A836" s="60"/>
    </row>
    <row r="837" spans="1:1" ht="12.75">
      <c r="A837" s="60"/>
    </row>
    <row r="838" spans="1:1" ht="12.75">
      <c r="A838" s="60"/>
    </row>
    <row r="839" spans="1:1" ht="12.75">
      <c r="A839" s="60"/>
    </row>
    <row r="840" spans="1:1" ht="12.75">
      <c r="A840" s="60"/>
    </row>
    <row r="841" spans="1:1" ht="12.75">
      <c r="A841" s="60"/>
    </row>
    <row r="842" spans="1:1" ht="12.75">
      <c r="A842" s="60"/>
    </row>
    <row r="843" spans="1:1" ht="12.75">
      <c r="A843" s="60"/>
    </row>
    <row r="844" spans="1:1" ht="12.75">
      <c r="A844" s="60"/>
    </row>
    <row r="845" spans="1:1" ht="12.75">
      <c r="A845" s="60"/>
    </row>
    <row r="846" spans="1:1" ht="12.75">
      <c r="A846" s="60"/>
    </row>
    <row r="847" spans="1:1" ht="12.75">
      <c r="A847" s="60"/>
    </row>
    <row r="848" spans="1:1" ht="12.75">
      <c r="A848" s="60"/>
    </row>
    <row r="849" spans="1:1" ht="12.75">
      <c r="A849" s="60"/>
    </row>
    <row r="850" spans="1:1" ht="12.75">
      <c r="A850" s="60"/>
    </row>
    <row r="851" spans="1:1" ht="12.75">
      <c r="A851" s="60"/>
    </row>
    <row r="852" spans="1:1" ht="12.75">
      <c r="A852" s="60"/>
    </row>
    <row r="853" spans="1:1" ht="12.75">
      <c r="A853" s="60"/>
    </row>
    <row r="854" spans="1:1" ht="12.75">
      <c r="A854" s="60"/>
    </row>
    <row r="855" spans="1:1" ht="12.75">
      <c r="A855" s="60"/>
    </row>
    <row r="856" spans="1:1" ht="12.75">
      <c r="A856" s="60"/>
    </row>
    <row r="857" spans="1:1" ht="12.75">
      <c r="A857" s="60"/>
    </row>
    <row r="858" spans="1:1" ht="12.75">
      <c r="A858" s="60"/>
    </row>
    <row r="859" spans="1:1" ht="12.75">
      <c r="A859" s="60"/>
    </row>
    <row r="860" spans="1:1" ht="12.75">
      <c r="A860" s="60"/>
    </row>
    <row r="861" spans="1:1" ht="12.75">
      <c r="A861" s="60"/>
    </row>
    <row r="862" spans="1:1" ht="12.75">
      <c r="A862" s="60"/>
    </row>
    <row r="863" spans="1:1" ht="12.75">
      <c r="A863" s="60"/>
    </row>
    <row r="864" spans="1:1" ht="12.75">
      <c r="A864" s="60"/>
    </row>
    <row r="865" spans="1:1" ht="12.75">
      <c r="A865" s="60"/>
    </row>
    <row r="866" spans="1:1" ht="12.75">
      <c r="A866" s="60"/>
    </row>
    <row r="867" spans="1:1" ht="12.75">
      <c r="A867" s="60"/>
    </row>
    <row r="868" spans="1:1" ht="12.75">
      <c r="A868" s="60"/>
    </row>
    <row r="869" spans="1:1" ht="12.75">
      <c r="A869" s="60"/>
    </row>
    <row r="870" spans="1:1" ht="12.75">
      <c r="A870" s="60"/>
    </row>
    <row r="871" spans="1:1" ht="12.75">
      <c r="A871" s="60"/>
    </row>
    <row r="872" spans="1:1" ht="12.75">
      <c r="A872" s="60"/>
    </row>
    <row r="873" spans="1:1" ht="12.75">
      <c r="A873" s="60"/>
    </row>
    <row r="874" spans="1:1" ht="12.75">
      <c r="A874" s="60"/>
    </row>
    <row r="875" spans="1:1" ht="12.75">
      <c r="A875" s="60"/>
    </row>
    <row r="876" spans="1:1" ht="12.75">
      <c r="A876" s="60"/>
    </row>
    <row r="877" spans="1:1" ht="12.75">
      <c r="A877" s="60"/>
    </row>
    <row r="878" spans="1:1" ht="12.75">
      <c r="A878" s="60"/>
    </row>
    <row r="879" spans="1:1" ht="12.75">
      <c r="A879" s="60"/>
    </row>
    <row r="880" spans="1:1" ht="12.75">
      <c r="A880" s="60"/>
    </row>
    <row r="881" spans="1:1" ht="12.75">
      <c r="A881" s="60"/>
    </row>
    <row r="882" spans="1:1" ht="12.75">
      <c r="A882" s="60"/>
    </row>
    <row r="883" spans="1:1" ht="12.75">
      <c r="A883" s="60"/>
    </row>
    <row r="884" spans="1:1" ht="12.75">
      <c r="A884" s="60"/>
    </row>
    <row r="885" spans="1:1" ht="12.75">
      <c r="A885" s="60"/>
    </row>
    <row r="886" spans="1:1" ht="12.75">
      <c r="A886" s="60"/>
    </row>
    <row r="887" spans="1:1" ht="12.75">
      <c r="A887" s="60"/>
    </row>
    <row r="888" spans="1:1" ht="12.75">
      <c r="A888" s="60"/>
    </row>
    <row r="889" spans="1:1" ht="12.75">
      <c r="A889" s="60"/>
    </row>
    <row r="890" spans="1:1" ht="12.75">
      <c r="A890" s="60"/>
    </row>
    <row r="891" spans="1:1" ht="12.75">
      <c r="A891" s="60"/>
    </row>
    <row r="892" spans="1:1" ht="12.75">
      <c r="A892" s="60"/>
    </row>
    <row r="893" spans="1:1" ht="12.75">
      <c r="A893" s="60"/>
    </row>
    <row r="894" spans="1:1" ht="12.75">
      <c r="A894" s="60"/>
    </row>
    <row r="895" spans="1:1" ht="12.75">
      <c r="A895" s="60"/>
    </row>
    <row r="896" spans="1:1" ht="12.75">
      <c r="A896" s="60"/>
    </row>
    <row r="897" spans="1:1" ht="12.75">
      <c r="A897" s="60"/>
    </row>
    <row r="898" spans="1:1" ht="12.75">
      <c r="A898" s="60"/>
    </row>
    <row r="899" spans="1:1" ht="12.75">
      <c r="A899" s="60"/>
    </row>
    <row r="900" spans="1:1" ht="12.75">
      <c r="A900" s="60"/>
    </row>
    <row r="901" spans="1:1" ht="12.75">
      <c r="A901" s="60"/>
    </row>
    <row r="902" spans="1:1" ht="12.75">
      <c r="A902" s="60"/>
    </row>
    <row r="903" spans="1:1" ht="12.75">
      <c r="A903" s="60"/>
    </row>
    <row r="904" spans="1:1" ht="12.75">
      <c r="A904" s="60"/>
    </row>
    <row r="905" spans="1:1" ht="12.75">
      <c r="A905" s="60"/>
    </row>
    <row r="906" spans="1:1" ht="12.75">
      <c r="A906" s="60"/>
    </row>
    <row r="907" spans="1:1" ht="12.75">
      <c r="A907" s="60"/>
    </row>
    <row r="908" spans="1:1" ht="12.75">
      <c r="A908" s="60"/>
    </row>
    <row r="909" spans="1:1" ht="12.75">
      <c r="A909" s="60"/>
    </row>
    <row r="910" spans="1:1" ht="12.75">
      <c r="A910" s="60"/>
    </row>
    <row r="911" spans="1:1" ht="12.75">
      <c r="A911" s="60"/>
    </row>
    <row r="912" spans="1:1" ht="12.75">
      <c r="A912" s="60"/>
    </row>
    <row r="913" spans="1:1" ht="12.75">
      <c r="A913" s="60"/>
    </row>
    <row r="914" spans="1:1" ht="12.75">
      <c r="A914" s="60"/>
    </row>
    <row r="915" spans="1:1" ht="12.75">
      <c r="A915" s="60"/>
    </row>
    <row r="916" spans="1:1" ht="12.75">
      <c r="A916" s="60"/>
    </row>
    <row r="917" spans="1:1" ht="12.75">
      <c r="A917" s="60"/>
    </row>
    <row r="918" spans="1:1" ht="12.75">
      <c r="A918" s="60"/>
    </row>
    <row r="919" spans="1:1" ht="12.75">
      <c r="A919" s="60"/>
    </row>
    <row r="920" spans="1:1" ht="12.75">
      <c r="A920" s="60"/>
    </row>
    <row r="921" spans="1:1" ht="12.75">
      <c r="A921" s="60"/>
    </row>
    <row r="922" spans="1:1" ht="12.75">
      <c r="A922" s="60"/>
    </row>
    <row r="923" spans="1:1" ht="12.75">
      <c r="A923" s="60"/>
    </row>
    <row r="924" spans="1:1" ht="12.75">
      <c r="A924" s="60"/>
    </row>
    <row r="925" spans="1:1" ht="12.75">
      <c r="A925" s="60"/>
    </row>
    <row r="926" spans="1:1" ht="12.75">
      <c r="A926" s="60"/>
    </row>
    <row r="927" spans="1:1" ht="12.75">
      <c r="A927" s="60"/>
    </row>
    <row r="928" spans="1:1" ht="12.75">
      <c r="A928" s="60"/>
    </row>
    <row r="929" spans="1:1" ht="12.75">
      <c r="A929" s="60"/>
    </row>
    <row r="930" spans="1:1" ht="12.75">
      <c r="A930" s="60"/>
    </row>
    <row r="931" spans="1:1" ht="12.75">
      <c r="A931" s="60"/>
    </row>
    <row r="932" spans="1:1" ht="12.75">
      <c r="A932" s="60"/>
    </row>
    <row r="933" spans="1:1" ht="12.75">
      <c r="A933" s="60"/>
    </row>
    <row r="934" spans="1:1" ht="12.75">
      <c r="A934" s="60"/>
    </row>
    <row r="935" spans="1:1" ht="12.75">
      <c r="A935" s="60"/>
    </row>
    <row r="936" spans="1:1" ht="12.75">
      <c r="A936" s="60"/>
    </row>
    <row r="937" spans="1:1" ht="12.75">
      <c r="A937" s="60"/>
    </row>
    <row r="938" spans="1:1" ht="12.75">
      <c r="A938" s="60"/>
    </row>
    <row r="939" spans="1:1" ht="12.75">
      <c r="A939" s="60"/>
    </row>
    <row r="940" spans="1:1" ht="12.75">
      <c r="A940" s="60"/>
    </row>
    <row r="941" spans="1:1" ht="12.75">
      <c r="A941" s="60"/>
    </row>
    <row r="942" spans="1:1" ht="12.75">
      <c r="A942" s="60"/>
    </row>
    <row r="943" spans="1:1" ht="12.75">
      <c r="A943" s="60"/>
    </row>
    <row r="944" spans="1:1" ht="12.75">
      <c r="A944" s="60"/>
    </row>
    <row r="945" spans="1:1" ht="12.75">
      <c r="A945" s="60"/>
    </row>
    <row r="946" spans="1:1" ht="12.75">
      <c r="A946" s="60"/>
    </row>
    <row r="947" spans="1:1" ht="12.75">
      <c r="A947" s="60"/>
    </row>
    <row r="948" spans="1:1" ht="12.75">
      <c r="A948" s="60"/>
    </row>
    <row r="949" spans="1:1" ht="12.75">
      <c r="A949" s="60"/>
    </row>
    <row r="950" spans="1:1" ht="12.75">
      <c r="A950" s="60"/>
    </row>
    <row r="951" spans="1:1" ht="12.75">
      <c r="A951" s="60"/>
    </row>
    <row r="952" spans="1:1" ht="12.75">
      <c r="A952" s="60"/>
    </row>
    <row r="953" spans="1:1" ht="12.75">
      <c r="A953" s="60"/>
    </row>
    <row r="954" spans="1:1" ht="12.75">
      <c r="A954" s="60"/>
    </row>
    <row r="955" spans="1:1" ht="12.75">
      <c r="A955" s="60"/>
    </row>
    <row r="956" spans="1:1" ht="12.75">
      <c r="A956" s="60"/>
    </row>
    <row r="957" spans="1:1" ht="12.75">
      <c r="A957" s="60"/>
    </row>
    <row r="958" spans="1:1" ht="12.75">
      <c r="A958" s="60"/>
    </row>
    <row r="959" spans="1:1" ht="12.75">
      <c r="A959" s="60"/>
    </row>
    <row r="960" spans="1:1" ht="12.75">
      <c r="A960" s="60"/>
    </row>
    <row r="961" spans="1:1" ht="12.75">
      <c r="A961" s="60"/>
    </row>
    <row r="962" spans="1:1" ht="12.75">
      <c r="A962" s="60"/>
    </row>
    <row r="963" spans="1:1" ht="12.75">
      <c r="A963" s="60"/>
    </row>
    <row r="964" spans="1:1" ht="12.75">
      <c r="A964" s="60"/>
    </row>
    <row r="965" spans="1:1" ht="12.75">
      <c r="A965" s="60"/>
    </row>
    <row r="966" spans="1:1" ht="12.75">
      <c r="A966" s="60"/>
    </row>
    <row r="967" spans="1:1" ht="12.75">
      <c r="A967" s="60"/>
    </row>
    <row r="968" spans="1:1" ht="12.75">
      <c r="A968" s="60"/>
    </row>
    <row r="969" spans="1:1" ht="12.75">
      <c r="A969" s="60"/>
    </row>
    <row r="970" spans="1:1" ht="12.75">
      <c r="A970" s="60"/>
    </row>
    <row r="971" spans="1:1" ht="12.75">
      <c r="A971" s="60"/>
    </row>
    <row r="972" spans="1:1" ht="12.75">
      <c r="A972" s="60"/>
    </row>
    <row r="973" spans="1:1" ht="12.75">
      <c r="A973" s="60"/>
    </row>
  </sheetData>
  <mergeCells count="57">
    <mergeCell ref="AO10:AO13"/>
    <mergeCell ref="AM5:AO5"/>
    <mergeCell ref="AJ6:AJ9"/>
    <mergeCell ref="AM6:AM9"/>
    <mergeCell ref="AN6:AN9"/>
    <mergeCell ref="AO6:AO9"/>
    <mergeCell ref="P10:P13"/>
    <mergeCell ref="Q10:Q13"/>
    <mergeCell ref="AA30:AB30"/>
    <mergeCell ref="AM10:AM13"/>
    <mergeCell ref="AN10:AN13"/>
    <mergeCell ref="AI30:AJ30"/>
    <mergeCell ref="AK10:AK13"/>
    <mergeCell ref="AL10:AL13"/>
    <mergeCell ref="K10:K13"/>
    <mergeCell ref="L10:L13"/>
    <mergeCell ref="M10:M13"/>
    <mergeCell ref="N10:N13"/>
    <mergeCell ref="O10:O13"/>
    <mergeCell ref="F10:F13"/>
    <mergeCell ref="G10:G13"/>
    <mergeCell ref="H10:H13"/>
    <mergeCell ref="I10:I13"/>
    <mergeCell ref="H30:J30"/>
    <mergeCell ref="J10:J13"/>
    <mergeCell ref="AJ10:AJ13"/>
    <mergeCell ref="Z10:Z13"/>
    <mergeCell ref="AA10:AA13"/>
    <mergeCell ref="AB10:AB13"/>
    <mergeCell ref="AC10:AC13"/>
    <mergeCell ref="AD10:AD13"/>
    <mergeCell ref="AE10:AE13"/>
    <mergeCell ref="AF10:AF13"/>
    <mergeCell ref="X10:X13"/>
    <mergeCell ref="Y10:Y13"/>
    <mergeCell ref="AG10:AG13"/>
    <mergeCell ref="AH10:AH13"/>
    <mergeCell ref="AI10:AI13"/>
    <mergeCell ref="R10:S13"/>
    <mergeCell ref="T10:T13"/>
    <mergeCell ref="U10:U13"/>
    <mergeCell ref="V10:V13"/>
    <mergeCell ref="W10:W13"/>
    <mergeCell ref="A10:A13"/>
    <mergeCell ref="B10:B13"/>
    <mergeCell ref="C10:C13"/>
    <mergeCell ref="D10:D13"/>
    <mergeCell ref="E10:E13"/>
    <mergeCell ref="A3:A5"/>
    <mergeCell ref="C5:I5"/>
    <mergeCell ref="U5:AJ5"/>
    <mergeCell ref="A6:A9"/>
    <mergeCell ref="B6:B9"/>
    <mergeCell ref="C6:C9"/>
    <mergeCell ref="U6:U9"/>
    <mergeCell ref="K5:Q5"/>
    <mergeCell ref="Q6:Q9"/>
  </mergeCells>
  <conditionalFormatting sqref="B15:J15 K15:N28 O15:AO15">
    <cfRule type="colorScale" priority="2">
      <colorScale>
        <cfvo type="formula" val="0.2"/>
        <cfvo type="formula" val="0.292"/>
        <color rgb="FF6AA84F"/>
        <color rgb="FFE06666"/>
      </colorScale>
    </cfRule>
  </conditionalFormatting>
  <conditionalFormatting sqref="B16:AO16 B20:AO20">
    <cfRule type="colorScale" priority="4">
      <colorScale>
        <cfvo type="formula" val="0"/>
        <cfvo type="formula" val="0.0866"/>
        <cfvo type="formula" val="0.17"/>
        <color rgb="FF38761D"/>
        <color rgb="FFF1C232"/>
        <color rgb="FFCC0000"/>
      </colorScale>
    </cfRule>
  </conditionalFormatting>
  <conditionalFormatting sqref="B16:AO16">
    <cfRule type="colorScale" priority="3">
      <colorScale>
        <cfvo type="formula" val="0"/>
        <cfvo type="formula" val="0.125"/>
        <color rgb="FFCC0000"/>
        <color rgb="FF38761D"/>
      </colorScale>
    </cfRule>
  </conditionalFormatting>
  <conditionalFormatting sqref="B22:AO22 B26:AO26">
    <cfRule type="colorScale" priority="6">
      <colorScale>
        <cfvo type="formula" val="0"/>
        <cfvo type="formula" val="0.0866"/>
        <color rgb="FFE06666"/>
        <color rgb="FF6AA84F"/>
      </colorScale>
    </cfRule>
  </conditionalFormatting>
  <conditionalFormatting sqref="B22:AO22">
    <cfRule type="colorScale" priority="5">
      <colorScale>
        <cfvo type="formula" val="0.12"/>
        <cfvo type="formula" val="0.29"/>
        <color rgb="FF38761D"/>
        <color rgb="FFCC0000"/>
      </colorScale>
    </cfRule>
  </conditionalFormatting>
  <conditionalFormatting sqref="B31:AO31">
    <cfRule type="colorScale" priority="1">
      <colorScale>
        <cfvo type="formula" val="-1"/>
        <cfvo type="formula" val="0"/>
        <cfvo type="formula" val="1"/>
        <color rgb="FFEA9999"/>
        <color rgb="FFFFFFFF"/>
        <color rgb="FF93C47D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Sarker</cp:lastModifiedBy>
  <dcterms:modified xsi:type="dcterms:W3CDTF">2026-05-28T14:02:55Z</dcterms:modified>
</cp:coreProperties>
</file>